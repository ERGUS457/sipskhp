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Kuliah\Semester 6 Wisuda\Data Penelitian\"/>
    </mc:Choice>
  </mc:AlternateContent>
  <xr:revisionPtr revIDLastSave="0" documentId="13_ncr:1_{9F5A209E-F9CD-4A43-BA53-2649AFC3E87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Cerapan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L53" i="2" l="1"/>
  <c r="BP53" i="2" s="1"/>
  <c r="BH53" i="2"/>
  <c r="BL51" i="2"/>
  <c r="BP51" i="2" s="1"/>
  <c r="BH51" i="2"/>
  <c r="BP48" i="2"/>
  <c r="BL48" i="2"/>
  <c r="BH48" i="2"/>
  <c r="BL47" i="2"/>
  <c r="BP47" i="2" s="1"/>
  <c r="BH47" i="2"/>
  <c r="AX47" i="2"/>
  <c r="AV47" i="2"/>
  <c r="BP46" i="2"/>
  <c r="BL46" i="2"/>
  <c r="BH46" i="2"/>
  <c r="AO45" i="2"/>
  <c r="AG45" i="2"/>
  <c r="BL44" i="2"/>
  <c r="BP44" i="2" s="1"/>
  <c r="BH44" i="2"/>
  <c r="BL42" i="2"/>
  <c r="BP42" i="2" s="1"/>
  <c r="BH42" i="2"/>
  <c r="AU42" i="2"/>
  <c r="AR43" i="2" s="1"/>
  <c r="BL41" i="2"/>
  <c r="BP41" i="2" s="1"/>
  <c r="BH41" i="2"/>
  <c r="AX41" i="2"/>
  <c r="BL40" i="2"/>
  <c r="BP40" i="2" s="1"/>
  <c r="BH40" i="2"/>
  <c r="AR36" i="2"/>
  <c r="AF33" i="2"/>
  <c r="AJ33" i="2" s="1"/>
  <c r="AF32" i="2"/>
  <c r="AJ32" i="2" s="1"/>
  <c r="BL31" i="2"/>
  <c r="BP31" i="2" s="1"/>
  <c r="BD34" i="2" s="1"/>
  <c r="AV31" i="2"/>
  <c r="AZ31" i="2" s="1"/>
  <c r="AN34" i="2" s="1"/>
  <c r="AU40" i="2" s="1"/>
  <c r="AF31" i="2"/>
  <c r="AJ31" i="2" s="1"/>
  <c r="AS25" i="2"/>
  <c r="AD25" i="2"/>
  <c r="BN25" i="2" s="1"/>
  <c r="BN23" i="2"/>
  <c r="N15" i="2"/>
  <c r="N12" i="2"/>
  <c r="N11" i="2"/>
  <c r="N10" i="2"/>
  <c r="V52" i="1"/>
  <c r="AY49" i="1"/>
  <c r="AY47" i="1"/>
  <c r="AY45" i="1"/>
  <c r="AY44" i="1"/>
  <c r="AY42" i="1"/>
  <c r="AY41" i="1"/>
  <c r="AY40" i="1"/>
  <c r="AY38" i="1"/>
  <c r="AY37" i="1"/>
  <c r="AY33" i="1"/>
  <c r="AY28" i="1"/>
  <c r="AY25" i="1"/>
  <c r="BC8" i="1"/>
  <c r="X34" i="2" l="1"/>
  <c r="AE40" i="2" s="1"/>
  <c r="X35" i="2"/>
  <c r="CA37" i="2" s="1"/>
  <c r="AB36" i="2"/>
  <c r="BJ36" i="2" s="1"/>
  <c r="BJ37" i="2" s="1"/>
  <c r="J52" i="1"/>
  <c r="T61" i="1"/>
  <c r="T61" i="2" l="1"/>
  <c r="J61" i="2"/>
</calcChain>
</file>

<file path=xl/sharedStrings.xml><?xml version="1.0" encoding="utf-8"?>
<sst xmlns="http://schemas.openxmlformats.org/spreadsheetml/2006/main" count="348" uniqueCount="207">
  <si>
    <t>TERA / TERA ULANG</t>
  </si>
  <si>
    <t>PEMERINTAH KOTA SINGKAWANG</t>
  </si>
  <si>
    <t>CERAPAN          Crp.PU-01.2026</t>
  </si>
  <si>
    <t>DINAS PERDAGANGAN, PERINDUSTRIAN, KOPERASI DAN USAHA KECIL MENENGAH</t>
  </si>
  <si>
    <t>POMPA UKUR BBM</t>
  </si>
  <si>
    <t>UPT METROLOGI LEGAL</t>
  </si>
  <si>
    <t>Pemeriksaan Visual dan Fasilitas</t>
  </si>
  <si>
    <t>Jalan Firdaus H. Rais Nomor 38 - Singkawang  79123</t>
  </si>
  <si>
    <t>NOMOR ORDER</t>
  </si>
  <si>
    <t>PENGUJIAN DILAKUKAN DALAM RANGKA</t>
  </si>
  <si>
    <t>-</t>
  </si>
  <si>
    <t>TERA</t>
  </si>
  <si>
    <t>xxxxxxxxx</t>
  </si>
  <si>
    <t>TERA ULANG</t>
  </si>
  <si>
    <t>DATA PENGUJIAN</t>
  </si>
  <si>
    <t>Nama Pemilik</t>
  </si>
  <si>
    <t>:</t>
  </si>
  <si>
    <t>PT. RATU SEPUDAK JAYA</t>
  </si>
  <si>
    <t>PETUGAS</t>
  </si>
  <si>
    <t>Nomor SPBU</t>
  </si>
  <si>
    <t>Nama Contact Person</t>
  </si>
  <si>
    <t>Achoy</t>
  </si>
  <si>
    <t>Alamat Terpasang</t>
  </si>
  <si>
    <t>Jl. Ratus Sepudak Kel. Sungai Wi Kec. Singkawag Tenah</t>
  </si>
  <si>
    <t>1.</t>
  </si>
  <si>
    <t>Nomor Pompa Ukur</t>
  </si>
  <si>
    <t>P1-3</t>
  </si>
  <si>
    <t>TanggalPengujian</t>
  </si>
  <si>
    <t>24 Mei 2026</t>
  </si>
  <si>
    <t>2.</t>
  </si>
  <si>
    <t>IDENTITAS UTTP</t>
  </si>
  <si>
    <t>KONDISI OPERASI</t>
  </si>
  <si>
    <t>Merek</t>
  </si>
  <si>
    <t>TATSUNO</t>
  </si>
  <si>
    <t>Laju Alir Maksimum</t>
  </si>
  <si>
    <t>L/min</t>
  </si>
  <si>
    <t>Tipe</t>
  </si>
  <si>
    <t>ADAT SDA 2222 P</t>
  </si>
  <si>
    <t>Laju Alir Minimum</t>
  </si>
  <si>
    <t>x</t>
  </si>
  <si>
    <t>Nomor Seri</t>
  </si>
  <si>
    <t>AA12345667</t>
  </si>
  <si>
    <t>MMQ  (jika ada)</t>
  </si>
  <si>
    <t>Liter</t>
  </si>
  <si>
    <r>
      <rPr>
        <sz val="10"/>
        <rFont val="Calibri"/>
      </rPr>
      <t xml:space="preserve">Jumlah </t>
    </r>
    <r>
      <rPr>
        <i/>
        <sz val="10"/>
        <rFont val="Calibri"/>
      </rPr>
      <t xml:space="preserve">nozzle
</t>
    </r>
  </si>
  <si>
    <t>AA12345668</t>
  </si>
  <si>
    <t>Nomor Persetujuan Tipe</t>
  </si>
  <si>
    <t>Tahun Pembuatan</t>
  </si>
  <si>
    <t>24 Januari 2021</t>
  </si>
  <si>
    <t>PEMERIKSAAN</t>
  </si>
  <si>
    <t>No.</t>
  </si>
  <si>
    <t>Dekripsi</t>
  </si>
  <si>
    <t>Ya</t>
  </si>
  <si>
    <t>Tidak</t>
  </si>
  <si>
    <t>Keterangan</t>
  </si>
  <si>
    <r>
      <rPr>
        <b/>
        <sz val="10"/>
        <rFont val="Calibri"/>
      </rPr>
      <t xml:space="preserve">Apakah PU BBM dilengkapi dengan Persetujuan Tipe (untuk Tera)?
</t>
    </r>
    <r>
      <rPr>
        <b/>
        <sz val="10"/>
        <rFont val="Calibri"/>
      </rPr>
      <t xml:space="preserve">- Apakah informasi pada pelat identitas sesuai dengan Persetujuan Tipe
</t>
    </r>
    <r>
      <rPr>
        <b/>
        <sz val="10"/>
        <rFont val="Calibri"/>
      </rPr>
      <t xml:space="preserve">- </t>
    </r>
    <r>
      <rPr>
        <b/>
        <sz val="10"/>
        <rFont val="Calibri"/>
      </rPr>
      <t xml:space="preserve">Apakah spesifikasi teknis PU BBM sesuai dengan Persetujuan Tipe?
</t>
    </r>
  </si>
  <si>
    <r>
      <rPr>
        <b/>
        <sz val="10"/>
        <rFont val="Calibri"/>
      </rPr>
      <t>Apakah PU BBM sudah digunakan dengan benar ?</t>
    </r>
    <r>
      <rPr>
        <b/>
        <sz val="10"/>
        <rFont val="Calibri"/>
      </rPr>
      <t xml:space="preserve">
- Apakah tanda tera sebelumnya masih utuh dan tidak ada yang rusak?</t>
    </r>
    <r>
      <rPr>
        <b/>
        <sz val="10"/>
        <rFont val="Calibri"/>
      </rPr>
      <t xml:space="preserve">
</t>
    </r>
    <r>
      <rPr>
        <b/>
        <sz val="10"/>
        <rFont val="Calibri"/>
      </rPr>
      <t xml:space="preserve">- Apakah tidak terdapat alat tambahan yang merubah spesifikasi dan/atau mempengaruhi hasil pengukuran PU BBM?
</t>
    </r>
  </si>
  <si>
    <r>
      <rPr>
        <b/>
        <sz val="10"/>
        <rFont val="Calibri"/>
      </rPr>
      <t xml:space="preserve">Apakah semua deskripsi yang wajib jelas terpasang pada pelat identitas ada dan terpasang tetap pada PU BBM?
</t>
    </r>
    <r>
      <rPr>
        <b/>
        <sz val="10"/>
        <rFont val="Calibri"/>
      </rPr>
      <t xml:space="preserve">- Apakah identitas pada pelat data lengkap sesuai syarat teknis?
- Apakah identitas pada pelat data mudah terlihat, jelas dan mudah dibaca?
</t>
    </r>
  </si>
  <si>
    <t>Apakah PU BBM dalam kondisi lengkap dan bersih?</t>
  </si>
  <si>
    <t>Apakah PU BBM terpasang dengan kokoh pada pondasinya atau pada sasis Tangki Ukur Mobil BBM?</t>
  </si>
  <si>
    <t>Apakah tidak terdapat kerusakan pada penutup Perangkat Penunjukan?</t>
  </si>
  <si>
    <t>Apakah Gelas Penglihat bersih serta penuh dengan produk?</t>
  </si>
  <si>
    <t>Apakah penunjukan volume, harga satuan, dan total harga sesuai dengan Slang yang dipilih?</t>
  </si>
  <si>
    <t>Apakah semua penunjukan terlihat jelas pada saat siang dan malam hari?</t>
  </si>
  <si>
    <t>Apakah Slang dalam kondisi baik, (pada slang apakah ditemukan konsdisi seperti lecet, retak, atau pembungkus Slangnya telah usang)?</t>
  </si>
  <si>
    <r>
      <rPr>
        <b/>
        <sz val="11"/>
        <rFont val="Calibri"/>
      </rPr>
      <t xml:space="preserve">Apakah masing-masing </t>
    </r>
    <r>
      <rPr>
        <b/>
        <i/>
        <sz val="11"/>
        <rFont val="Calibri"/>
      </rPr>
      <t xml:space="preserve">nozzle </t>
    </r>
    <r>
      <rPr>
        <b/>
        <sz val="11"/>
        <rFont val="Calibri"/>
      </rPr>
      <t xml:space="preserve">menghentikan aliran cairan ketika dikembalikan ke tempat penyimpanannya?
</t>
    </r>
  </si>
  <si>
    <t>Apakah pada PU BBM tidak ditemukan adanya kebocoran atau rembesan cairan?</t>
  </si>
  <si>
    <t xml:space="preserve">HASIL PEMERIKSAAN </t>
  </si>
  <si>
    <t>HASIL</t>
  </si>
  <si>
    <t>LANJUT KE PENGUJIAN</t>
  </si>
  <si>
    <t>TIDAK DAPAT DIUJI</t>
  </si>
  <si>
    <t>KETERANGAN</t>
  </si>
  <si>
    <t>CATATAN</t>
  </si>
  <si>
    <r>
      <rPr>
        <sz val="11"/>
        <rFont val="Calibri"/>
      </rPr>
      <t xml:space="preserve">Tidak terdapat perangkat yang terbagi, sehingga tidak terdapat fasilitas </t>
    </r>
    <r>
      <rPr>
        <i/>
        <sz val="11"/>
        <rFont val="Calibri"/>
      </rPr>
      <t xml:space="preserve">interlock
</t>
    </r>
  </si>
  <si>
    <t>Pengujian Unjuk Kerja</t>
  </si>
  <si>
    <t>Nomor PU BBM</t>
  </si>
  <si>
    <t>Nomor Seri PU BBM</t>
  </si>
  <si>
    <t>Identifikasi Nozzle</t>
  </si>
  <si>
    <t>Jenis Cairan</t>
  </si>
  <si>
    <t>Pertamax Turbo</t>
  </si>
  <si>
    <t>Harga Satuan</t>
  </si>
  <si>
    <t xml:space="preserve">Rp. </t>
  </si>
  <si>
    <t>/ L</t>
  </si>
  <si>
    <t>Tanggal Pengujian</t>
  </si>
  <si>
    <t>DATA BEJANA UKUR</t>
  </si>
  <si>
    <t>ANKATAMA</t>
  </si>
  <si>
    <r>
      <rPr>
        <sz val="10"/>
        <rFont val="Calibri"/>
      </rPr>
      <t>Volume Nominal  ( V</t>
    </r>
    <r>
      <rPr>
        <vertAlign val="subscript"/>
        <sz val="10"/>
        <rFont val="Calibri"/>
      </rPr>
      <t>N</t>
    </r>
    <r>
      <rPr>
        <sz val="10"/>
        <rFont val="Calibri"/>
      </rPr>
      <t xml:space="preserve"> )
</t>
    </r>
  </si>
  <si>
    <t>L</t>
  </si>
  <si>
    <t>Solar</t>
  </si>
  <si>
    <t>Basah</t>
  </si>
  <si>
    <r>
      <rPr>
        <sz val="10"/>
        <rFont val="Calibri"/>
      </rPr>
      <t>Volume Sebenarnya  ( V</t>
    </r>
    <r>
      <rPr>
        <vertAlign val="subscript"/>
        <sz val="10"/>
        <rFont val="Calibri"/>
      </rPr>
      <t>28</t>
    </r>
    <r>
      <rPr>
        <sz val="10"/>
        <rFont val="Calibri"/>
      </rPr>
      <t xml:space="preserve"> )
</t>
    </r>
  </si>
  <si>
    <t>Bio Solar</t>
  </si>
  <si>
    <t>ATM050618</t>
  </si>
  <si>
    <t>Skala Utama Sebenarnya</t>
  </si>
  <si>
    <t>mL</t>
  </si>
  <si>
    <t>Pertalie</t>
  </si>
  <si>
    <t>Tanggal Verifikasi Terakhir</t>
  </si>
  <si>
    <t>Pertamax</t>
  </si>
  <si>
    <t>HASIL PENGUJIAN</t>
  </si>
  <si>
    <t>Pertamax Plus</t>
  </si>
  <si>
    <t>Pembacaan Totalisator</t>
  </si>
  <si>
    <t>Sebelum uji (a) :</t>
  </si>
  <si>
    <t>Sesudah uji (b)  :</t>
  </si>
  <si>
    <t>Total terpakai (b-a)  :</t>
  </si>
  <si>
    <t>Dexlite</t>
  </si>
  <si>
    <r>
      <rPr>
        <sz val="10"/>
        <rFont val="Calibri"/>
      </rPr>
      <t>Q</t>
    </r>
    <r>
      <rPr>
        <vertAlign val="subscript"/>
        <sz val="10"/>
        <rFont val="Calibri"/>
      </rPr>
      <t>min</t>
    </r>
    <r>
      <rPr>
        <sz val="10"/>
        <rFont val="Calibri"/>
      </rPr>
      <t xml:space="preserve"> dan Q</t>
    </r>
    <r>
      <rPr>
        <vertAlign val="subscript"/>
        <sz val="10"/>
        <rFont val="Calibri"/>
      </rPr>
      <t>maks.</t>
    </r>
    <r>
      <rPr>
        <sz val="10"/>
        <rFont val="Calibri"/>
      </rPr>
      <t xml:space="preserve"> Pada Plat Identitas
</t>
    </r>
  </si>
  <si>
    <r>
      <rPr>
        <sz val="10"/>
        <rFont val="Calibri"/>
      </rPr>
      <t xml:space="preserve">Q </t>
    </r>
    <r>
      <rPr>
        <vertAlign val="subscript"/>
        <sz val="10"/>
        <rFont val="Calibri"/>
      </rPr>
      <t>maks.</t>
    </r>
    <r>
      <rPr>
        <sz val="10"/>
        <rFont val="Calibri"/>
      </rPr>
      <t xml:space="preserve">  =
</t>
    </r>
  </si>
  <si>
    <r>
      <rPr>
        <sz val="10"/>
        <rFont val="Calibri"/>
      </rPr>
      <t xml:space="preserve">Q </t>
    </r>
    <r>
      <rPr>
        <vertAlign val="subscript"/>
        <sz val="10"/>
        <rFont val="Calibri"/>
      </rPr>
      <t>min.</t>
    </r>
    <r>
      <rPr>
        <sz val="10"/>
        <rFont val="Calibri"/>
      </rPr>
      <t xml:space="preserve">  =
</t>
    </r>
  </si>
  <si>
    <r>
      <rPr>
        <sz val="10"/>
        <rFont val="Calibri"/>
      </rPr>
      <t>Rasio (Q</t>
    </r>
    <r>
      <rPr>
        <vertAlign val="subscript"/>
        <sz val="10"/>
        <rFont val="Calibri"/>
      </rPr>
      <t>maks</t>
    </r>
    <r>
      <rPr>
        <sz val="10"/>
        <rFont val="Calibri"/>
      </rPr>
      <t xml:space="preserve"> - Q</t>
    </r>
    <r>
      <rPr>
        <vertAlign val="subscript"/>
        <sz val="10"/>
        <rFont val="Calibri"/>
      </rPr>
      <t>min</t>
    </r>
    <r>
      <rPr>
        <sz val="10"/>
        <rFont val="Calibri"/>
      </rPr>
      <t xml:space="preserve">) =
</t>
    </r>
  </si>
  <si>
    <t>Pertamina Dex</t>
  </si>
  <si>
    <t>Akurasi</t>
  </si>
  <si>
    <t>Laju Alir Operasional</t>
  </si>
  <si>
    <t>(mL)</t>
  </si>
  <si>
    <r>
      <rPr>
        <sz val="10"/>
        <rFont val="Calibri"/>
      </rPr>
      <t>V</t>
    </r>
    <r>
      <rPr>
        <vertAlign val="subscript"/>
        <sz val="10"/>
        <rFont val="Calibri"/>
      </rPr>
      <t>REF</t>
    </r>
    <r>
      <rPr>
        <sz val="10"/>
        <rFont val="Calibri"/>
      </rPr>
      <t xml:space="preserve"> = V</t>
    </r>
    <r>
      <rPr>
        <vertAlign val="subscript"/>
        <sz val="10"/>
        <rFont val="Calibri"/>
      </rPr>
      <t>28</t>
    </r>
    <r>
      <rPr>
        <sz val="10"/>
        <rFont val="Calibri"/>
      </rPr>
      <t xml:space="preserve"> + Volume penunjukan skala BUS
</t>
    </r>
  </si>
  <si>
    <t>Preset Volume</t>
  </si>
  <si>
    <t>Preset Harga</t>
  </si>
  <si>
    <t>No Preset (jika bisa)</t>
  </si>
  <si>
    <t>(skala)</t>
  </si>
  <si>
    <t>atau</t>
  </si>
  <si>
    <r>
      <rPr>
        <sz val="10"/>
        <rFont val="Calibri"/>
      </rPr>
      <t>V</t>
    </r>
    <r>
      <rPr>
        <vertAlign val="subscript"/>
        <sz val="10"/>
        <rFont val="Calibri"/>
      </rPr>
      <t xml:space="preserve">FD
</t>
    </r>
  </si>
  <si>
    <t>Nonius</t>
  </si>
  <si>
    <r>
      <rPr>
        <sz val="10"/>
        <rFont val="Calibri"/>
      </rPr>
      <t>V</t>
    </r>
    <r>
      <rPr>
        <vertAlign val="subscript"/>
        <sz val="10"/>
        <rFont val="Calibri"/>
      </rPr>
      <t xml:space="preserve">REF
</t>
    </r>
  </si>
  <si>
    <r>
      <rPr>
        <sz val="10"/>
        <rFont val="Calibri"/>
      </rPr>
      <t>E</t>
    </r>
    <r>
      <rPr>
        <vertAlign val="subscript"/>
        <sz val="10"/>
        <rFont val="Calibri"/>
      </rPr>
      <t xml:space="preserve">FD
</t>
    </r>
  </si>
  <si>
    <r>
      <rPr>
        <sz val="10"/>
        <rFont val="Calibri"/>
      </rPr>
      <t>V</t>
    </r>
    <r>
      <rPr>
        <vertAlign val="subscript"/>
        <sz val="10"/>
        <rFont val="Calibri"/>
      </rPr>
      <t xml:space="preserve">FD
</t>
    </r>
  </si>
  <si>
    <r>
      <rPr>
        <sz val="10"/>
        <rFont val="Calibri"/>
      </rPr>
      <t>V</t>
    </r>
    <r>
      <rPr>
        <vertAlign val="subscript"/>
        <sz val="10"/>
        <rFont val="Calibri"/>
      </rPr>
      <t xml:space="preserve">REF
</t>
    </r>
  </si>
  <si>
    <r>
      <rPr>
        <sz val="10"/>
        <rFont val="Calibri"/>
      </rPr>
      <t>E</t>
    </r>
    <r>
      <rPr>
        <vertAlign val="subscript"/>
        <sz val="10"/>
        <rFont val="Calibri"/>
      </rPr>
      <t xml:space="preserve">FD
</t>
    </r>
  </si>
  <si>
    <r>
      <rPr>
        <sz val="10"/>
        <rFont val="Calibri"/>
      </rPr>
      <t>V</t>
    </r>
    <r>
      <rPr>
        <vertAlign val="subscript"/>
        <sz val="10"/>
        <rFont val="Calibri"/>
      </rPr>
      <t xml:space="preserve">FD
</t>
    </r>
  </si>
  <si>
    <r>
      <rPr>
        <sz val="10"/>
        <rFont val="Calibri"/>
      </rPr>
      <t>V</t>
    </r>
    <r>
      <rPr>
        <vertAlign val="subscript"/>
        <sz val="10"/>
        <rFont val="Calibri"/>
      </rPr>
      <t xml:space="preserve">REF
</t>
    </r>
  </si>
  <si>
    <r>
      <rPr>
        <sz val="10"/>
        <rFont val="Calibri"/>
      </rPr>
      <t>E</t>
    </r>
    <r>
      <rPr>
        <vertAlign val="subscript"/>
        <sz val="10"/>
        <rFont val="Calibri"/>
      </rPr>
      <t xml:space="preserve">FD
</t>
    </r>
  </si>
  <si>
    <r>
      <rPr>
        <sz val="10"/>
        <rFont val="Calibri"/>
      </rPr>
      <t>V</t>
    </r>
    <r>
      <rPr>
        <vertAlign val="subscript"/>
        <sz val="10"/>
        <rFont val="Calibri"/>
      </rPr>
      <t>REF</t>
    </r>
    <r>
      <rPr>
        <sz val="10"/>
        <rFont val="Calibri"/>
      </rPr>
      <t xml:space="preserve"> = V</t>
    </r>
    <r>
      <rPr>
        <vertAlign val="subscript"/>
        <sz val="10"/>
        <rFont val="Calibri"/>
      </rPr>
      <t>28</t>
    </r>
    <r>
      <rPr>
        <sz val="10"/>
        <rFont val="Calibri"/>
      </rPr>
      <t xml:space="preserve"> + (pembacaan Jumlah Skala  x  Nilai Skala Utama sebenarnya)
</t>
    </r>
  </si>
  <si>
    <t>volume/pulse</t>
  </si>
  <si>
    <t>( L )</t>
  </si>
  <si>
    <t>( % )</t>
  </si>
  <si>
    <t>pulse/volume</t>
  </si>
  <si>
    <t>Penyerahan ke-1</t>
  </si>
  <si>
    <t>Penyerahan ke-2</t>
  </si>
  <si>
    <t>tanpa hose reel</t>
  </si>
  <si>
    <t>Penyerahan ke-3</t>
  </si>
  <si>
    <t>dengan hose reel</t>
  </si>
  <si>
    <r>
      <rPr>
        <sz val="10"/>
        <rFont val="Calibri"/>
      </rPr>
      <t xml:space="preserve">Kesalahan rata-rata (EAV = </t>
    </r>
    <r>
      <rPr>
        <sz val="10"/>
        <rFont val="Calibri"/>
      </rPr>
      <t xml:space="preserve">Σ E </t>
    </r>
    <r>
      <rPr>
        <vertAlign val="subscript"/>
        <sz val="10"/>
        <rFont val="Calibri"/>
      </rPr>
      <t>FD</t>
    </r>
    <r>
      <rPr>
        <sz val="10"/>
        <rFont val="Calibri"/>
      </rPr>
      <t xml:space="preserve"> / 3)
</t>
    </r>
  </si>
  <si>
    <t>%</t>
  </si>
  <si>
    <r>
      <rPr>
        <sz val="10"/>
        <rFont val="Calibri"/>
      </rPr>
      <t xml:space="preserve">Kemampuan Ulang ( R = E </t>
    </r>
    <r>
      <rPr>
        <vertAlign val="subscript"/>
        <sz val="10"/>
        <rFont val="Calibri"/>
      </rPr>
      <t>FD maks.</t>
    </r>
    <r>
      <rPr>
        <sz val="10"/>
        <rFont val="Calibri"/>
      </rPr>
      <t xml:space="preserve"> - E </t>
    </r>
    <r>
      <rPr>
        <vertAlign val="subscript"/>
        <sz val="10"/>
        <rFont val="Calibri"/>
      </rPr>
      <t>FD min.</t>
    </r>
    <r>
      <rPr>
        <sz val="10"/>
        <rFont val="Calibri"/>
      </rPr>
      <t xml:space="preserve"> )
</t>
    </r>
  </si>
  <si>
    <t>(analog)</t>
  </si>
  <si>
    <r>
      <rPr>
        <sz val="10"/>
        <rFont val="Calibri"/>
      </rPr>
      <t xml:space="preserve">Meter Faktor rata-rata (MF = </t>
    </r>
    <r>
      <rPr>
        <sz val="10"/>
        <rFont val="Calibri"/>
      </rPr>
      <t xml:space="preserve">Σ V </t>
    </r>
    <r>
      <rPr>
        <vertAlign val="subscript"/>
        <sz val="10"/>
        <rFont val="Calibri"/>
      </rPr>
      <t>REF</t>
    </r>
    <r>
      <rPr>
        <sz val="10"/>
        <rFont val="Calibri"/>
      </rPr>
      <t xml:space="preserve"> / Σ V </t>
    </r>
    <r>
      <rPr>
        <vertAlign val="subscript"/>
        <sz val="10"/>
        <rFont val="Calibri"/>
      </rPr>
      <t>FD</t>
    </r>
    <r>
      <rPr>
        <sz val="10"/>
        <rFont val="Calibri"/>
      </rPr>
      <t xml:space="preserve">)
</t>
    </r>
  </si>
  <si>
    <r>
      <rPr>
        <sz val="10"/>
        <rFont val="Calibri"/>
      </rPr>
      <t xml:space="preserve">Σ V </t>
    </r>
    <r>
      <rPr>
        <vertAlign val="subscript"/>
        <sz val="10"/>
        <rFont val="Calibri"/>
      </rPr>
      <t>REF</t>
    </r>
    <r>
      <rPr>
        <sz val="10"/>
        <rFont val="Calibri"/>
      </rPr>
      <t xml:space="preserve"> =
</t>
    </r>
  </si>
  <si>
    <r>
      <rPr>
        <sz val="10"/>
        <rFont val="Calibri"/>
      </rPr>
      <t xml:space="preserve">Σ V </t>
    </r>
    <r>
      <rPr>
        <vertAlign val="subscript"/>
        <sz val="10"/>
        <rFont val="Calibri"/>
      </rPr>
      <t>FD</t>
    </r>
    <r>
      <rPr>
        <sz val="10"/>
        <rFont val="Calibri"/>
      </rPr>
      <t xml:space="preserve"> =
</t>
    </r>
  </si>
  <si>
    <t>MF =</t>
  </si>
  <si>
    <t>(digital)</t>
  </si>
  <si>
    <t>Justir</t>
  </si>
  <si>
    <t>(New KF = Old KF x MF ) , V/pulse</t>
  </si>
  <si>
    <t>Satuan</t>
  </si>
  <si>
    <t>Old KF</t>
  </si>
  <si>
    <t>New KF</t>
  </si>
  <si>
    <t>K-Factor</t>
  </si>
  <si>
    <r>
      <rPr>
        <i/>
        <sz val="10"/>
        <rFont val="Calibri"/>
      </rPr>
      <t xml:space="preserve">(New KF = Old KF </t>
    </r>
    <r>
      <rPr>
        <i/>
        <sz val="10"/>
        <rFont val="Calibri"/>
      </rPr>
      <t>/</t>
    </r>
    <r>
      <rPr>
        <i/>
        <sz val="10"/>
        <rFont val="Calibri"/>
      </rPr>
      <t xml:space="preserve"> MF ) , pulse/V
</t>
    </r>
  </si>
  <si>
    <t>Akurasi Penjatah</t>
  </si>
  <si>
    <t>Penjatah Volume</t>
  </si>
  <si>
    <t>Penjatah Harga</t>
  </si>
  <si>
    <t>Kesalahan =</t>
  </si>
  <si>
    <t>Anti-Drain , volume sisa dari nozle</t>
  </si>
  <si>
    <t>V =</t>
  </si>
  <si>
    <t>BKD</t>
  </si>
  <si>
    <t>=</t>
  </si>
  <si>
    <t xml:space="preserve">Laju Alir Maks.  </t>
  </si>
  <si>
    <t>t =</t>
  </si>
  <si>
    <t>s</t>
  </si>
  <si>
    <t>Q =</t>
  </si>
  <si>
    <r>
      <rPr>
        <sz val="10"/>
        <rFont val="Calibri"/>
      </rPr>
      <t>Rasio laju alir  (Q / Q</t>
    </r>
    <r>
      <rPr>
        <vertAlign val="subscript"/>
        <sz val="10"/>
        <rFont val="Calibri"/>
      </rPr>
      <t>min</t>
    </r>
    <r>
      <rPr>
        <sz val="10"/>
        <rFont val="Calibri"/>
      </rPr>
      <t xml:space="preserve">)  =
</t>
    </r>
  </si>
  <si>
    <t>Perhitungan Harga</t>
  </si>
  <si>
    <t>Peninjukan</t>
  </si>
  <si>
    <t>=  Rp.</t>
  </si>
  <si>
    <t>Beda</t>
  </si>
  <si>
    <t>Batas</t>
  </si>
  <si>
    <t>rupiah terkecil yang beredar dan berlaku</t>
  </si>
  <si>
    <r>
      <rPr>
        <sz val="10"/>
        <rFont val="Calibri"/>
      </rPr>
      <t>(Perhitungan = Harga Satuan x V</t>
    </r>
    <r>
      <rPr>
        <vertAlign val="subscript"/>
        <sz val="10"/>
        <rFont val="Calibri"/>
      </rPr>
      <t xml:space="preserve">FD </t>
    </r>
    <r>
      <rPr>
        <sz val="10"/>
        <rFont val="Calibri"/>
      </rPr>
      <t xml:space="preserve">)                        (Beda = </t>
    </r>
    <r>
      <rPr>
        <sz val="10"/>
        <rFont val="Calibri"/>
      </rPr>
      <t xml:space="preserve">ǀ Penunjukan - Perhitungan ǀ )
</t>
    </r>
  </si>
  <si>
    <t>Perhitungan</t>
  </si>
  <si>
    <r>
      <rPr>
        <sz val="10"/>
        <rFont val="Arimo"/>
      </rPr>
      <t xml:space="preserve">Rp. </t>
    </r>
    <r>
      <rPr>
        <sz val="10"/>
        <rFont val="Calibri"/>
      </rPr>
      <t xml:space="preserve">±
</t>
    </r>
  </si>
  <si>
    <t>Fasilitas pemeriksaan perangkat penunjukan</t>
  </si>
  <si>
    <r>
      <rPr>
        <sz val="10"/>
        <rFont val="Calibri"/>
      </rPr>
      <t xml:space="preserve">Semua angka terlihat jelas, elemen </t>
    </r>
    <r>
      <rPr>
        <i/>
        <sz val="10"/>
        <rFont val="Calibri"/>
      </rPr>
      <t>eight test</t>
    </r>
    <r>
      <rPr>
        <sz val="10"/>
        <rFont val="Calibri"/>
      </rPr>
      <t xml:space="preserve"> tampil seluruhnya
</t>
    </r>
  </si>
  <si>
    <r>
      <rPr>
        <sz val="10"/>
        <rFont val="Calibri"/>
      </rPr>
      <t xml:space="preserve">Penyetel nol, BKD </t>
    </r>
    <r>
      <rPr>
        <vertAlign val="subscript"/>
        <sz val="10"/>
        <rFont val="Calibri"/>
      </rPr>
      <t xml:space="preserve">(analog) </t>
    </r>
    <r>
      <rPr>
        <sz val="10"/>
        <rFont val="Calibri"/>
      </rPr>
      <t xml:space="preserve"> =  MMQ  x  (0,5/100)
</t>
    </r>
  </si>
  <si>
    <t>Penunjukan</t>
  </si>
  <si>
    <t>BKD  =</t>
  </si>
  <si>
    <t>Nozzle Out-Off</t>
  </si>
  <si>
    <r>
      <rPr>
        <sz val="10"/>
        <rFont val="Calibri"/>
      </rPr>
      <t xml:space="preserve">Aliran otomatis terhenti jika ujung </t>
    </r>
    <r>
      <rPr>
        <i/>
        <sz val="10"/>
        <rFont val="Calibri"/>
      </rPr>
      <t>nozzle</t>
    </r>
    <r>
      <rPr>
        <sz val="10"/>
        <rFont val="Calibri"/>
      </rPr>
      <t xml:space="preserve"> menyentuh cairan
</t>
    </r>
  </si>
  <si>
    <r>
      <rPr>
        <sz val="10"/>
        <color rgb="FFFF0000"/>
        <rFont val="Calibri"/>
      </rPr>
      <t xml:space="preserve">Untuk PU BBM yang terpasang pada TUM dan ujung </t>
    </r>
    <r>
      <rPr>
        <i/>
        <sz val="10"/>
        <color rgb="FFFF0000"/>
        <rFont val="Calibri"/>
      </rPr>
      <t>nozzle</t>
    </r>
    <r>
      <rPr>
        <sz val="10"/>
        <color rgb="FFFF0000"/>
        <rFont val="Calibri"/>
      </rPr>
      <t xml:space="preserve"> terpasang </t>
    </r>
    <r>
      <rPr>
        <i/>
        <sz val="10"/>
        <color rgb="FFFF0000"/>
        <rFont val="Calibri"/>
      </rPr>
      <t>coupler</t>
    </r>
    <r>
      <rPr>
        <sz val="10"/>
        <color rgb="FFFF0000"/>
        <rFont val="Calibri"/>
      </rPr>
      <t xml:space="preserve">, pengujian ini TIDAK PERLU DILAKUKAN dan pada kolom hasil diceklis lolos.
</t>
    </r>
  </si>
  <si>
    <t>Interlock</t>
  </si>
  <si>
    <t>Berbagi Perangkat Penunjukan</t>
  </si>
  <si>
    <t>Berbagi Unit Pompa Internal</t>
  </si>
  <si>
    <t>Tidak dapat melakukan penyerahan secara bersamaan</t>
  </si>
  <si>
    <r>
      <rPr>
        <sz val="10"/>
        <rFont val="Calibri"/>
      </rPr>
      <t>Penunjukan penjatah (</t>
    </r>
    <r>
      <rPr>
        <i/>
        <sz val="10"/>
        <rFont val="Calibri"/>
      </rPr>
      <t>pre-set</t>
    </r>
    <r>
      <rPr>
        <sz val="10"/>
        <rFont val="Calibri"/>
      </rPr>
      <t xml:space="preserve">)
</t>
    </r>
  </si>
  <si>
    <r>
      <rPr>
        <sz val="10"/>
        <rFont val="Calibri"/>
      </rPr>
      <t>Penyerahan dan penunjukan berhenti sesuai dengan nilai yang diatur (</t>
    </r>
    <r>
      <rPr>
        <i/>
        <sz val="10"/>
        <rFont val="Calibri"/>
      </rPr>
      <t>setting</t>
    </r>
    <r>
      <rPr>
        <sz val="10"/>
        <rFont val="Calibri"/>
      </rPr>
      <t xml:space="preserve">)
</t>
    </r>
  </si>
  <si>
    <t>BATAS KESALAHAN YANG DIIZINKAN (BKD)</t>
  </si>
  <si>
    <t>AKURASI</t>
  </si>
  <si>
    <t>±</t>
  </si>
  <si>
    <t>ANTI-DRAIN</t>
  </si>
  <si>
    <t>KETIDAKTETAPAN</t>
  </si>
  <si>
    <t>MMQ</t>
  </si>
  <si>
    <r>
      <rPr>
        <b/>
        <sz val="10"/>
        <rFont val="Calibri"/>
      </rPr>
      <t xml:space="preserve">Tanpa </t>
    </r>
    <r>
      <rPr>
        <b/>
        <i/>
        <sz val="10"/>
        <rFont val="Calibri"/>
      </rPr>
      <t xml:space="preserve">hose reel
</t>
    </r>
  </si>
  <si>
    <r>
      <rPr>
        <b/>
        <sz val="10"/>
        <rFont val="Calibri"/>
      </rPr>
      <t xml:space="preserve">Dengan </t>
    </r>
    <r>
      <rPr>
        <b/>
        <i/>
        <sz val="10"/>
        <rFont val="Calibri"/>
      </rPr>
      <t xml:space="preserve">hose reel
</t>
    </r>
  </si>
  <si>
    <t>AKURASI PENJATAH</t>
  </si>
  <si>
    <t>RASIO LAJU ALIR</t>
  </si>
  <si>
    <t>≥</t>
  </si>
  <si>
    <t>HASIL KESELURUHAN</t>
  </si>
  <si>
    <t>H A S I L</t>
  </si>
  <si>
    <t>SAH</t>
  </si>
  <si>
    <t>BATAL</t>
  </si>
  <si>
    <t>KETERANGAN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</si>
</sst>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"/>
    <numFmt numFmtId="165" formatCode="0.000"/>
  </numFmts>
  <fonts count="24">
    <font>
      <sz val="11"/>
      <color rgb="FF000000"/>
      <name val="Calibri"/>
      <scheme val="minor"/>
    </font>
    <font>
      <sz val="10"/>
      <name val="Calibri"/>
    </font>
    <font>
      <sz val="10"/>
      <name val="Arimo"/>
    </font>
    <font>
      <sz val="11"/>
      <name val="Calibri"/>
    </font>
    <font>
      <b/>
      <sz val="12"/>
      <name val="Calibri"/>
    </font>
    <font>
      <sz val="11"/>
      <name val="Calibri"/>
    </font>
    <font>
      <b/>
      <sz val="11"/>
      <name val="Calibri"/>
    </font>
    <font>
      <sz val="9"/>
      <name val="Calibri"/>
    </font>
    <font>
      <b/>
      <sz val="10"/>
      <name val="Calibri"/>
    </font>
    <font>
      <b/>
      <sz val="18"/>
      <color rgb="FFFFA825"/>
      <name val="Oi"/>
    </font>
    <font>
      <sz val="11"/>
      <color rgb="FFA5A5A5"/>
      <name val="Calibri"/>
    </font>
    <font>
      <b/>
      <sz val="10"/>
      <color rgb="FFFF0000"/>
      <name val="Calibri"/>
    </font>
    <font>
      <i/>
      <sz val="10"/>
      <name val="Calibri"/>
    </font>
    <font>
      <sz val="10"/>
      <color rgb="FFFF0000"/>
      <name val="Calibri"/>
    </font>
    <font>
      <sz val="10"/>
      <color rgb="FFA5A5A5"/>
      <name val="Calibri"/>
    </font>
    <font>
      <b/>
      <sz val="16"/>
      <name val="Calibri"/>
    </font>
    <font>
      <sz val="10"/>
      <color rgb="FFFF0000"/>
      <name val="Arimo"/>
    </font>
    <font>
      <sz val="8"/>
      <name val="Calibri"/>
    </font>
    <font>
      <b/>
      <sz val="18"/>
      <color rgb="FFFFFF00"/>
      <name val="Oi"/>
    </font>
    <font>
      <b/>
      <i/>
      <sz val="11"/>
      <name val="Calibri"/>
    </font>
    <font>
      <i/>
      <sz val="11"/>
      <name val="Calibri"/>
    </font>
    <font>
      <vertAlign val="subscript"/>
      <sz val="10"/>
      <name val="Calibri"/>
    </font>
    <font>
      <i/>
      <sz val="10"/>
      <color rgb="FFFF0000"/>
      <name val="Calibri"/>
    </font>
    <font>
      <b/>
      <i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0">
    <xf numFmtId="0" fontId="0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2" borderId="4" xfId="0" applyFont="1" applyFill="1" applyBorder="1" applyAlignment="1"/>
    <xf numFmtId="0" fontId="5" fillId="2" borderId="4" xfId="0" applyFont="1" applyFill="1" applyBorder="1" applyAlignment="1"/>
    <xf numFmtId="0" fontId="1" fillId="2" borderId="10" xfId="0" applyFont="1" applyFill="1" applyBorder="1" applyAlignment="1"/>
    <xf numFmtId="0" fontId="5" fillId="2" borderId="10" xfId="0" applyFont="1" applyFill="1" applyBorder="1" applyAlignment="1"/>
    <xf numFmtId="0" fontId="1" fillId="2" borderId="23" xfId="0" applyFont="1" applyFill="1" applyBorder="1" applyAlignment="1"/>
    <xf numFmtId="0" fontId="5" fillId="2" borderId="23" xfId="0" applyFont="1" applyFill="1" applyBorder="1" applyAlignme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1" fillId="0" borderId="8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9" xfId="0" applyFont="1" applyBorder="1" applyAlignment="1"/>
    <xf numFmtId="0" fontId="5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14" xfId="0" applyFont="1" applyBorder="1" applyAlignment="1"/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5" fillId="0" borderId="3" xfId="0" applyFont="1" applyBorder="1" applyAlignment="1"/>
    <xf numFmtId="0" fontId="1" fillId="0" borderId="15" xfId="0" applyFont="1" applyBorder="1" applyAlignment="1"/>
    <xf numFmtId="0" fontId="5" fillId="0" borderId="16" xfId="0" applyFont="1" applyBorder="1" applyAlignment="1"/>
    <xf numFmtId="0" fontId="8" fillId="0" borderId="28" xfId="0" applyFont="1" applyBorder="1" applyAlignment="1">
      <alignment horizontal="left" vertical="center"/>
    </xf>
    <xf numFmtId="0" fontId="1" fillId="0" borderId="28" xfId="0" applyFont="1" applyBorder="1" applyAlignment="1"/>
    <xf numFmtId="0" fontId="5" fillId="0" borderId="29" xfId="0" applyFont="1" applyBorder="1" applyAlignment="1"/>
    <xf numFmtId="0" fontId="8" fillId="0" borderId="2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2" fillId="0" borderId="28" xfId="0" applyFont="1" applyBorder="1" applyAlignment="1"/>
    <xf numFmtId="0" fontId="2" fillId="0" borderId="3" xfId="0" applyFont="1" applyBorder="1" applyAlignment="1"/>
    <xf numFmtId="0" fontId="1" fillId="0" borderId="9" xfId="0" applyFont="1" applyBorder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2" fillId="0" borderId="9" xfId="0" applyFont="1" applyBorder="1" applyAlignment="1"/>
    <xf numFmtId="0" fontId="8" fillId="0" borderId="0" xfId="0" applyFont="1" applyAlignment="1">
      <alignment vertical="center"/>
    </xf>
    <xf numFmtId="0" fontId="1" fillId="6" borderId="10" xfId="0" applyFont="1" applyFill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1" fillId="0" borderId="16" xfId="0" applyFont="1" applyBorder="1" applyAlignment="1"/>
    <xf numFmtId="0" fontId="5" fillId="6" borderId="10" xfId="0" applyFont="1" applyFill="1" applyBorder="1" applyAlignment="1">
      <alignment vertical="center"/>
    </xf>
    <xf numFmtId="0" fontId="2" fillId="6" borderId="10" xfId="0" applyFont="1" applyFill="1" applyBorder="1" applyAlignment="1"/>
    <xf numFmtId="0" fontId="5" fillId="0" borderId="0" xfId="0" applyFont="1" applyAlignment="1"/>
    <xf numFmtId="0" fontId="5" fillId="2" borderId="10" xfId="0" applyFont="1" applyFill="1" applyBorder="1" applyAlignment="1">
      <alignment vertical="center"/>
    </xf>
    <xf numFmtId="0" fontId="5" fillId="2" borderId="39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5" fillId="2" borderId="40" xfId="0" applyFont="1" applyFill="1" applyBorder="1" applyAlignment="1">
      <alignment vertical="center"/>
    </xf>
    <xf numFmtId="0" fontId="10" fillId="0" borderId="0" xfId="0" applyFont="1" applyAlignment="1"/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8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2" fillId="4" borderId="42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39" xfId="0" applyFont="1" applyFill="1" applyBorder="1" applyAlignment="1">
      <alignment vertical="center"/>
    </xf>
    <xf numFmtId="0" fontId="1" fillId="4" borderId="42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2" fillId="7" borderId="47" xfId="0" applyFont="1" applyFill="1" applyBorder="1" applyAlignment="1">
      <alignment vertical="center"/>
    </xf>
    <xf numFmtId="0" fontId="2" fillId="7" borderId="23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3" fontId="1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4" fillId="2" borderId="20" xfId="0" applyFont="1" applyFill="1" applyBorder="1" applyAlignment="1">
      <alignment horizontal="center"/>
    </xf>
    <xf numFmtId="0" fontId="3" fillId="0" borderId="22" xfId="0" applyFont="1" applyBorder="1" applyAlignment="1">
      <alignment vertical="center"/>
    </xf>
    <xf numFmtId="0" fontId="7" fillId="2" borderId="24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6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/>
    </xf>
    <xf numFmtId="0" fontId="8" fillId="4" borderId="3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33" xfId="0" applyFont="1" applyFill="1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165" fontId="1" fillId="3" borderId="27" xfId="0" applyNumberFormat="1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1" fillId="2" borderId="33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3" fillId="0" borderId="38" xfId="0" applyFont="1" applyBorder="1" applyAlignment="1">
      <alignment vertical="center"/>
    </xf>
    <xf numFmtId="3" fontId="1" fillId="0" borderId="2" xfId="0" applyNumberFormat="1" applyFont="1" applyBorder="1" applyAlignment="1">
      <alignment horizontal="left" vertical="center"/>
    </xf>
    <xf numFmtId="1" fontId="1" fillId="3" borderId="30" xfId="0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vertical="center"/>
    </xf>
    <xf numFmtId="0" fontId="11" fillId="0" borderId="2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165" fontId="1" fillId="0" borderId="27" xfId="0" applyNumberFormat="1" applyFont="1" applyBorder="1" applyAlignment="1">
      <alignment horizontal="center" vertical="center"/>
    </xf>
    <xf numFmtId="165" fontId="11" fillId="0" borderId="28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4" fontId="1" fillId="3" borderId="20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165" fontId="11" fillId="0" borderId="27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1" fontId="11" fillId="0" borderId="28" xfId="0" applyNumberFormat="1" applyFont="1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6" fillId="2" borderId="31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5" fontId="16" fillId="0" borderId="28" xfId="0" applyNumberFormat="1" applyFont="1" applyBorder="1" applyAlignment="1">
      <alignment horizontal="center" vertical="center"/>
    </xf>
    <xf numFmtId="2" fontId="1" fillId="3" borderId="43" xfId="0" applyNumberFormat="1" applyFont="1" applyFill="1" applyBorder="1" applyAlignment="1">
      <alignment horizontal="center" vertical="center"/>
    </xf>
    <xf numFmtId="164" fontId="1" fillId="3" borderId="3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8" fillId="2" borderId="2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1" fillId="6" borderId="2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8" fillId="5" borderId="2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2" fillId="6" borderId="20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right" vertical="center"/>
    </xf>
    <xf numFmtId="0" fontId="4" fillId="3" borderId="27" xfId="0" applyFont="1" applyFill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5" fontId="1" fillId="0" borderId="28" xfId="0" applyNumberFormat="1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3" fillId="0" borderId="15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" fillId="0" borderId="2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0" fontId="1" fillId="0" borderId="27" xfId="0" applyFont="1" applyBorder="1" applyAlignment="1">
      <alignment horizontal="center" vertical="top"/>
    </xf>
    <xf numFmtId="0" fontId="3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9525</xdr:colOff>
      <xdr:row>1</xdr:row>
      <xdr:rowOff>57150</xdr:rowOff>
    </xdr:from>
    <xdr:ext cx="666750" cy="876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>
        <a:xfrm>
          <a:off x="1609700" y="171448"/>
          <a:ext cx="762000" cy="876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round/>
        </a:ln>
      </xdr:spPr>
    </xdr:sp>
    <xdr:clientData fLocksWithSheet="0"/>
  </xdr:oneCellAnchor>
  <xdr:oneCellAnchor>
    <xdr:from>
      <xdr:col>46</xdr:col>
      <xdr:colOff>9525</xdr:colOff>
      <xdr:row>1</xdr:row>
      <xdr:rowOff>57150</xdr:rowOff>
    </xdr:from>
    <xdr:ext cx="600075" cy="9239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>
        <a:xfrm>
          <a:off x="6181631" y="171448"/>
          <a:ext cx="695324" cy="923925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rou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76200</xdr:colOff>
      <xdr:row>1</xdr:row>
      <xdr:rowOff>57150</xdr:rowOff>
    </xdr:from>
    <xdr:ext cx="647700" cy="8953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>
        <a:xfrm>
          <a:off x="1543027" y="171448"/>
          <a:ext cx="752475" cy="895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round/>
        </a:ln>
      </xdr:spPr>
    </xdr:sp>
    <xdr:clientData fLocksWithSheet="0"/>
  </xdr:oneCellAnchor>
  <xdr:oneCellAnchor>
    <xdr:from>
      <xdr:col>53</xdr:col>
      <xdr:colOff>85725</xdr:colOff>
      <xdr:row>1</xdr:row>
      <xdr:rowOff>47625</xdr:rowOff>
    </xdr:from>
    <xdr:ext cx="628650" cy="9239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>
        <a:xfrm>
          <a:off x="7153167" y="161923"/>
          <a:ext cx="733424" cy="923925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round/>
        </a:ln>
      </xdr:spPr>
    </xdr:sp>
    <xdr:clientData fLocksWithSheet="0"/>
  </xdr:oneCellAnchor>
  <xdr:oneCellAnchor>
    <xdr:from>
      <xdr:col>10</xdr:col>
      <xdr:colOff>104775</xdr:colOff>
      <xdr:row>41</xdr:row>
      <xdr:rowOff>66675</xdr:rowOff>
    </xdr:from>
    <xdr:ext cx="828675" cy="304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/>
        </xdr:cNvSpPr>
      </xdr:nvSpPr>
      <xdr:spPr>
        <a:xfrm>
          <a:off x="1438254" y="8277100"/>
          <a:ext cx="971550" cy="304800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98"/>
  <sheetViews>
    <sheetView showGridLines="0" topLeftCell="A5" workbookViewId="0">
      <selection activeCell="BN55" sqref="BN55"/>
    </sheetView>
  </sheetViews>
  <sheetFormatPr defaultColWidth="14.453125" defaultRowHeight="15" customHeight="1"/>
  <cols>
    <col min="1" max="17" width="1.7265625" customWidth="1"/>
    <col min="18" max="18" width="2" customWidth="1"/>
    <col min="19" max="19" width="1.7265625" customWidth="1"/>
    <col min="20" max="20" width="2" customWidth="1"/>
    <col min="21" max="64" width="1.7265625" customWidth="1"/>
  </cols>
  <sheetData>
    <row r="1" spans="1:64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</row>
    <row r="2" spans="1:64" ht="15.75" customHeight="1">
      <c r="A2" s="1"/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6"/>
      <c r="L2" s="3"/>
      <c r="M2" s="3"/>
      <c r="N2" s="3"/>
      <c r="O2" s="3"/>
      <c r="P2" s="3"/>
      <c r="Q2" s="3"/>
      <c r="R2" s="3"/>
      <c r="S2" s="3"/>
      <c r="T2" s="3"/>
      <c r="U2" s="105" t="s">
        <v>1</v>
      </c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7"/>
      <c r="AT2" s="4"/>
      <c r="AU2" s="4"/>
      <c r="AV2" s="4"/>
      <c r="AW2" s="4"/>
      <c r="AX2" s="4"/>
      <c r="AY2" s="4"/>
      <c r="AZ2" s="4"/>
      <c r="BA2" s="4"/>
      <c r="BB2" s="4"/>
      <c r="BC2" s="104" t="s">
        <v>2</v>
      </c>
      <c r="BD2" s="85"/>
      <c r="BE2" s="85"/>
      <c r="BF2" s="85"/>
      <c r="BG2" s="85"/>
      <c r="BH2" s="85"/>
      <c r="BI2" s="85"/>
      <c r="BJ2" s="85"/>
      <c r="BK2" s="85"/>
      <c r="BL2" s="86"/>
    </row>
    <row r="3" spans="1:64" ht="15.75" customHeight="1">
      <c r="A3" s="1"/>
      <c r="B3" s="90"/>
      <c r="C3" s="83"/>
      <c r="D3" s="83"/>
      <c r="E3" s="83"/>
      <c r="F3" s="83"/>
      <c r="G3" s="83"/>
      <c r="H3" s="83"/>
      <c r="I3" s="83"/>
      <c r="J3" s="83"/>
      <c r="K3" s="91"/>
      <c r="L3" s="5"/>
      <c r="M3" s="5"/>
      <c r="N3" s="5"/>
      <c r="O3" s="5"/>
      <c r="P3" s="5"/>
      <c r="Q3" s="5"/>
      <c r="R3" s="5"/>
      <c r="S3" s="5"/>
      <c r="T3" s="5"/>
      <c r="U3" s="108" t="s">
        <v>3</v>
      </c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6"/>
      <c r="AU3" s="6"/>
      <c r="AV3" s="6"/>
      <c r="AW3" s="6"/>
      <c r="AX3" s="6"/>
      <c r="AY3" s="6"/>
      <c r="AZ3" s="6"/>
      <c r="BA3" s="6"/>
      <c r="BB3" s="6"/>
      <c r="BC3" s="90"/>
      <c r="BD3" s="83"/>
      <c r="BE3" s="83"/>
      <c r="BF3" s="83"/>
      <c r="BG3" s="83"/>
      <c r="BH3" s="83"/>
      <c r="BI3" s="83"/>
      <c r="BJ3" s="83"/>
      <c r="BK3" s="83"/>
      <c r="BL3" s="91"/>
    </row>
    <row r="4" spans="1:64" ht="15.75" customHeight="1">
      <c r="A4" s="1"/>
      <c r="B4" s="87"/>
      <c r="C4" s="88"/>
      <c r="D4" s="88"/>
      <c r="E4" s="88"/>
      <c r="F4" s="88"/>
      <c r="G4" s="88"/>
      <c r="H4" s="88"/>
      <c r="I4" s="88"/>
      <c r="J4" s="88"/>
      <c r="K4" s="89"/>
      <c r="L4" s="5"/>
      <c r="M4" s="5"/>
      <c r="N4" s="5"/>
      <c r="O4" s="5"/>
      <c r="P4" s="5"/>
      <c r="Q4" s="5"/>
      <c r="R4" s="5"/>
      <c r="S4" s="5"/>
      <c r="T4" s="5"/>
      <c r="U4" s="111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3"/>
      <c r="AT4" s="6"/>
      <c r="AU4" s="6"/>
      <c r="AV4" s="6"/>
      <c r="AW4" s="6"/>
      <c r="AX4" s="6"/>
      <c r="AY4" s="6"/>
      <c r="AZ4" s="6"/>
      <c r="BA4" s="6"/>
      <c r="BB4" s="6"/>
      <c r="BC4" s="87"/>
      <c r="BD4" s="88"/>
      <c r="BE4" s="88"/>
      <c r="BF4" s="88"/>
      <c r="BG4" s="88"/>
      <c r="BH4" s="88"/>
      <c r="BI4" s="88"/>
      <c r="BJ4" s="88"/>
      <c r="BK4" s="88"/>
      <c r="BL4" s="89"/>
    </row>
    <row r="5" spans="1:64" ht="15.75" customHeight="1">
      <c r="A5" s="1"/>
      <c r="B5" s="84" t="s">
        <v>4</v>
      </c>
      <c r="C5" s="85"/>
      <c r="D5" s="85"/>
      <c r="E5" s="85"/>
      <c r="F5" s="85"/>
      <c r="G5" s="85"/>
      <c r="H5" s="85"/>
      <c r="I5" s="85"/>
      <c r="J5" s="85"/>
      <c r="K5" s="86"/>
      <c r="L5" s="5"/>
      <c r="M5" s="5"/>
      <c r="N5" s="5"/>
      <c r="O5" s="5"/>
      <c r="P5" s="5"/>
      <c r="Q5" s="5"/>
      <c r="R5" s="5"/>
      <c r="S5" s="5"/>
      <c r="T5" s="5"/>
      <c r="U5" s="114" t="s">
        <v>5</v>
      </c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115"/>
      <c r="AT5" s="6"/>
      <c r="AU5" s="6"/>
      <c r="AV5" s="6"/>
      <c r="AW5" s="6"/>
      <c r="AX5" s="6"/>
      <c r="AY5" s="6"/>
      <c r="AZ5" s="6"/>
      <c r="BA5" s="6"/>
      <c r="BB5" s="6"/>
      <c r="BC5" s="104" t="s">
        <v>6</v>
      </c>
      <c r="BD5" s="85"/>
      <c r="BE5" s="85"/>
      <c r="BF5" s="85"/>
      <c r="BG5" s="85"/>
      <c r="BH5" s="85"/>
      <c r="BI5" s="85"/>
      <c r="BJ5" s="85"/>
      <c r="BK5" s="85"/>
      <c r="BL5" s="86"/>
    </row>
    <row r="6" spans="1:64" ht="15.75" customHeight="1">
      <c r="A6" s="1"/>
      <c r="B6" s="87"/>
      <c r="C6" s="88"/>
      <c r="D6" s="88"/>
      <c r="E6" s="88"/>
      <c r="F6" s="88"/>
      <c r="G6" s="88"/>
      <c r="H6" s="88"/>
      <c r="I6" s="88"/>
      <c r="J6" s="88"/>
      <c r="K6" s="89"/>
      <c r="L6" s="7"/>
      <c r="M6" s="7"/>
      <c r="N6" s="7"/>
      <c r="O6" s="7"/>
      <c r="P6" s="7"/>
      <c r="Q6" s="7"/>
      <c r="R6" s="7"/>
      <c r="S6" s="7"/>
      <c r="T6" s="7"/>
      <c r="U6" s="116" t="s">
        <v>7</v>
      </c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8"/>
      <c r="AT6" s="8"/>
      <c r="AU6" s="8"/>
      <c r="AV6" s="8"/>
      <c r="AW6" s="8"/>
      <c r="AX6" s="8"/>
      <c r="AY6" s="8"/>
      <c r="AZ6" s="8"/>
      <c r="BA6" s="8"/>
      <c r="BB6" s="8"/>
      <c r="BC6" s="87"/>
      <c r="BD6" s="88"/>
      <c r="BE6" s="88"/>
      <c r="BF6" s="88"/>
      <c r="BG6" s="88"/>
      <c r="BH6" s="88"/>
      <c r="BI6" s="88"/>
      <c r="BJ6" s="88"/>
      <c r="BK6" s="88"/>
      <c r="BL6" s="89"/>
    </row>
    <row r="7" spans="1:64" ht="15.75" customHeight="1">
      <c r="A7" s="1"/>
      <c r="B7" s="93" t="s">
        <v>8</v>
      </c>
      <c r="C7" s="88"/>
      <c r="D7" s="88"/>
      <c r="E7" s="88"/>
      <c r="F7" s="88"/>
      <c r="G7" s="88"/>
      <c r="H7" s="88"/>
      <c r="I7" s="88"/>
      <c r="J7" s="88"/>
      <c r="K7" s="89"/>
      <c r="L7" s="95" t="s">
        <v>9</v>
      </c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6"/>
      <c r="BC7" s="124" t="s">
        <v>10</v>
      </c>
      <c r="BD7" s="102"/>
      <c r="BE7" s="103"/>
      <c r="BF7" s="9" t="s">
        <v>11</v>
      </c>
      <c r="BG7" s="9"/>
      <c r="BH7" s="10"/>
      <c r="BI7" s="10"/>
      <c r="BJ7" s="10"/>
      <c r="BK7" s="10"/>
      <c r="BL7" s="11"/>
    </row>
    <row r="8" spans="1:64" ht="15.75" customHeight="1">
      <c r="A8" s="1"/>
      <c r="B8" s="92" t="s">
        <v>12</v>
      </c>
      <c r="C8" s="83"/>
      <c r="D8" s="83"/>
      <c r="E8" s="83"/>
      <c r="F8" s="83"/>
      <c r="G8" s="83"/>
      <c r="H8" s="83"/>
      <c r="I8" s="83"/>
      <c r="J8" s="83"/>
      <c r="K8" s="91"/>
      <c r="L8" s="87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9"/>
      <c r="BC8" s="119" t="str">
        <f>+IF(BC7="-","x","-")</f>
        <v>x</v>
      </c>
      <c r="BD8" s="102"/>
      <c r="BE8" s="103"/>
      <c r="BF8" s="9" t="s">
        <v>13</v>
      </c>
      <c r="BG8" s="9"/>
      <c r="BH8" s="10"/>
      <c r="BI8" s="10"/>
      <c r="BJ8" s="10"/>
      <c r="BK8" s="10"/>
      <c r="BL8" s="11"/>
    </row>
    <row r="9" spans="1:64" ht="18" customHeight="1">
      <c r="A9" s="1"/>
      <c r="B9" s="123" t="s">
        <v>14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3"/>
    </row>
    <row r="10" spans="1:64" ht="19.5" customHeight="1">
      <c r="A10" s="1"/>
      <c r="B10" s="12"/>
      <c r="C10" s="13" t="s">
        <v>15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 t="s">
        <v>16</v>
      </c>
      <c r="P10" s="13"/>
      <c r="Q10" s="15" t="s">
        <v>17</v>
      </c>
      <c r="R10" s="15"/>
      <c r="S10" s="15"/>
      <c r="T10" s="15"/>
      <c r="U10" s="15"/>
      <c r="V10" s="15"/>
      <c r="W10" s="15"/>
      <c r="X10" s="15"/>
      <c r="Y10" s="15"/>
      <c r="Z10" s="13"/>
      <c r="AA10" s="13"/>
      <c r="AB10" s="13"/>
      <c r="AC10" s="13"/>
      <c r="AD10" s="16"/>
      <c r="AE10" s="16"/>
      <c r="AF10" s="16"/>
      <c r="AG10" s="16"/>
      <c r="AH10" s="16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20" t="s">
        <v>18</v>
      </c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91"/>
    </row>
    <row r="11" spans="1:64" ht="19.5" customHeight="1">
      <c r="A11" s="1"/>
      <c r="B11" s="12"/>
      <c r="C11" s="13" t="s">
        <v>19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 t="s">
        <v>16</v>
      </c>
      <c r="P11" s="13"/>
      <c r="Q11" s="82">
        <v>79123019</v>
      </c>
      <c r="R11" s="83"/>
      <c r="S11" s="83"/>
      <c r="T11" s="83"/>
      <c r="U11" s="83"/>
      <c r="V11" s="83"/>
      <c r="W11" s="83"/>
      <c r="X11" s="83"/>
      <c r="Y11" s="83"/>
      <c r="Z11" s="13"/>
      <c r="AA11" s="13"/>
      <c r="AB11" s="13"/>
      <c r="AC11" s="13"/>
      <c r="AD11" s="16"/>
      <c r="AE11" s="16"/>
      <c r="AF11" s="16"/>
      <c r="AG11" s="16"/>
      <c r="AH11" s="16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7"/>
    </row>
    <row r="12" spans="1:64" ht="19.5" customHeight="1">
      <c r="A12" s="1"/>
      <c r="B12" s="12"/>
      <c r="C12" s="13" t="s">
        <v>20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 t="s">
        <v>16</v>
      </c>
      <c r="P12" s="13"/>
      <c r="Q12" s="15" t="s">
        <v>21</v>
      </c>
      <c r="R12" s="15"/>
      <c r="S12" s="15"/>
      <c r="T12" s="15"/>
      <c r="U12" s="15"/>
      <c r="V12" s="15"/>
      <c r="W12" s="15"/>
      <c r="X12" s="15"/>
      <c r="Y12" s="15"/>
      <c r="Z12" s="13"/>
      <c r="AA12" s="13"/>
      <c r="AB12" s="13"/>
      <c r="AC12" s="13"/>
      <c r="AD12" s="16"/>
      <c r="AE12" s="16"/>
      <c r="AF12" s="16"/>
      <c r="AG12" s="16"/>
      <c r="AH12" s="16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7"/>
    </row>
    <row r="13" spans="1:64" ht="19.5" customHeight="1">
      <c r="A13" s="1"/>
      <c r="B13" s="12"/>
      <c r="C13" s="13" t="s">
        <v>22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 t="s">
        <v>16</v>
      </c>
      <c r="P13" s="13"/>
      <c r="Q13" s="15" t="s">
        <v>23</v>
      </c>
      <c r="R13" s="15"/>
      <c r="S13" s="15"/>
      <c r="T13" s="15"/>
      <c r="U13" s="15"/>
      <c r="V13" s="15"/>
      <c r="W13" s="15"/>
      <c r="X13" s="15"/>
      <c r="Y13" s="15"/>
      <c r="Z13" s="13"/>
      <c r="AA13" s="13"/>
      <c r="AB13" s="13"/>
      <c r="AC13" s="13"/>
      <c r="AD13" s="16"/>
      <c r="AE13" s="16"/>
      <c r="AF13" s="16"/>
      <c r="AG13" s="16"/>
      <c r="AH13" s="16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22" t="s">
        <v>24</v>
      </c>
      <c r="AY13" s="83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7"/>
    </row>
    <row r="14" spans="1:64" ht="19.5" customHeight="1">
      <c r="A14" s="1"/>
      <c r="B14" s="12"/>
      <c r="C14" s="13" t="s">
        <v>25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4" t="s">
        <v>16</v>
      </c>
      <c r="P14" s="13"/>
      <c r="Q14" s="15" t="s">
        <v>26</v>
      </c>
      <c r="R14" s="15"/>
      <c r="S14" s="15"/>
      <c r="T14" s="15"/>
      <c r="U14" s="15"/>
      <c r="V14" s="15"/>
      <c r="W14" s="15"/>
      <c r="X14" s="15"/>
      <c r="Y14" s="15"/>
      <c r="Z14" s="13"/>
      <c r="AA14" s="13"/>
      <c r="AB14" s="13"/>
      <c r="AC14" s="13"/>
      <c r="AD14" s="16"/>
      <c r="AE14" s="16"/>
      <c r="AF14" s="16"/>
      <c r="AG14" s="16"/>
      <c r="AH14" s="16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7"/>
    </row>
    <row r="15" spans="1:64" ht="19.5" customHeight="1">
      <c r="A15" s="1"/>
      <c r="B15" s="12"/>
      <c r="C15" s="13" t="s">
        <v>27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 t="s">
        <v>16</v>
      </c>
      <c r="P15" s="13"/>
      <c r="Q15" s="15" t="s">
        <v>28</v>
      </c>
      <c r="R15" s="15"/>
      <c r="S15" s="15"/>
      <c r="T15" s="15"/>
      <c r="U15" s="15"/>
      <c r="V15" s="15"/>
      <c r="W15" s="15"/>
      <c r="X15" s="15"/>
      <c r="Y15" s="15"/>
      <c r="Z15" s="13"/>
      <c r="AA15" s="13"/>
      <c r="AB15" s="13"/>
      <c r="AC15" s="13"/>
      <c r="AD15" s="16"/>
      <c r="AE15" s="16"/>
      <c r="AF15" s="16"/>
      <c r="AG15" s="16"/>
      <c r="AH15" s="16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22" t="s">
        <v>29</v>
      </c>
      <c r="AY15" s="83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7"/>
    </row>
    <row r="16" spans="1:64" ht="9.75" customHeight="1">
      <c r="A16" s="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6"/>
      <c r="AE16" s="16"/>
      <c r="AF16" s="16"/>
      <c r="AG16" s="16"/>
      <c r="AH16" s="16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7"/>
    </row>
    <row r="17" spans="1:64" ht="18" customHeight="1">
      <c r="A17" s="1"/>
      <c r="B17" s="123" t="s">
        <v>30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3"/>
      <c r="AG17" s="133" t="s">
        <v>31</v>
      </c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</row>
    <row r="18" spans="1:64" ht="19.5" customHeight="1">
      <c r="A18" s="1"/>
      <c r="B18" s="12"/>
      <c r="C18" s="13" t="s">
        <v>32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 t="s">
        <v>16</v>
      </c>
      <c r="P18" s="13"/>
      <c r="Q18" s="13" t="s">
        <v>33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6"/>
      <c r="AE18" s="16"/>
      <c r="AF18" s="19"/>
      <c r="AG18" s="16"/>
      <c r="AH18" s="16" t="s">
        <v>34</v>
      </c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8" t="s">
        <v>16</v>
      </c>
      <c r="AU18" s="134">
        <v>65</v>
      </c>
      <c r="AV18" s="85"/>
      <c r="AW18" s="85"/>
      <c r="AX18" s="85"/>
      <c r="AY18" s="10" t="s">
        <v>35</v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1"/>
    </row>
    <row r="19" spans="1:64" ht="19.5" customHeight="1">
      <c r="A19" s="1"/>
      <c r="B19" s="12"/>
      <c r="C19" s="13" t="s">
        <v>36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 t="s">
        <v>16</v>
      </c>
      <c r="P19" s="13"/>
      <c r="Q19" s="13" t="s">
        <v>37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6"/>
      <c r="AE19" s="16"/>
      <c r="AF19" s="19"/>
      <c r="AG19" s="16"/>
      <c r="AH19" s="16" t="s">
        <v>38</v>
      </c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8" t="s">
        <v>16</v>
      </c>
      <c r="AU19" s="122">
        <v>6.5</v>
      </c>
      <c r="AV19" s="83"/>
      <c r="AW19" s="83"/>
      <c r="AX19" s="83"/>
      <c r="AY19" s="10" t="s">
        <v>35</v>
      </c>
      <c r="AZ19" s="10"/>
      <c r="BA19" s="10"/>
      <c r="BB19" s="10"/>
      <c r="BC19" s="10"/>
      <c r="BD19" s="10"/>
      <c r="BE19" s="10"/>
      <c r="BF19" s="10"/>
      <c r="BG19" s="10"/>
      <c r="BH19" s="122" t="s">
        <v>39</v>
      </c>
      <c r="BI19" s="83"/>
      <c r="BJ19" s="83"/>
      <c r="BK19" s="83"/>
      <c r="BL19" s="91"/>
    </row>
    <row r="20" spans="1:64" ht="19.5" customHeight="1">
      <c r="A20" s="1"/>
      <c r="B20" s="12"/>
      <c r="C20" s="13" t="s">
        <v>40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 t="s">
        <v>16</v>
      </c>
      <c r="P20" s="13"/>
      <c r="Q20" s="13" t="s">
        <v>41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6"/>
      <c r="AE20" s="16"/>
      <c r="AF20" s="19"/>
      <c r="AG20" s="16"/>
      <c r="AH20" s="16" t="s">
        <v>42</v>
      </c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8" t="s">
        <v>16</v>
      </c>
      <c r="AU20" s="122">
        <v>0</v>
      </c>
      <c r="AV20" s="83"/>
      <c r="AW20" s="83"/>
      <c r="AX20" s="83"/>
      <c r="AY20" s="10" t="s">
        <v>43</v>
      </c>
      <c r="AZ20" s="10"/>
      <c r="BA20" s="10"/>
      <c r="BB20" s="10"/>
      <c r="BC20" s="10"/>
      <c r="BD20" s="10"/>
      <c r="BE20" s="10"/>
      <c r="BF20" s="10"/>
      <c r="BG20" s="10"/>
      <c r="BH20" s="122" t="s">
        <v>39</v>
      </c>
      <c r="BI20" s="83"/>
      <c r="BJ20" s="83"/>
      <c r="BK20" s="83"/>
      <c r="BL20" s="91"/>
    </row>
    <row r="21" spans="1:64" ht="19.5" customHeight="1">
      <c r="A21" s="1"/>
      <c r="B21" s="12"/>
      <c r="C21" s="13" t="s">
        <v>44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 t="s">
        <v>16</v>
      </c>
      <c r="P21" s="13"/>
      <c r="Q21" s="13" t="s">
        <v>45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6"/>
      <c r="AE21" s="16"/>
      <c r="AF21" s="19"/>
      <c r="AG21" s="16"/>
      <c r="AH21" s="125" t="s">
        <v>46</v>
      </c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122" t="s">
        <v>16</v>
      </c>
      <c r="AU21" s="136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91"/>
    </row>
    <row r="22" spans="1:64" ht="19.5" customHeight="1">
      <c r="A22" s="1"/>
      <c r="B22" s="20"/>
      <c r="C22" s="21" t="s">
        <v>47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 t="s">
        <v>16</v>
      </c>
      <c r="P22" s="21"/>
      <c r="Q22" s="21" t="s">
        <v>48</v>
      </c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3"/>
      <c r="AE22" s="23"/>
      <c r="AF22" s="24"/>
      <c r="AG22" s="16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9"/>
    </row>
    <row r="23" spans="1:64" ht="18" customHeight="1">
      <c r="A23" s="1"/>
      <c r="B23" s="123" t="s">
        <v>49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</row>
    <row r="24" spans="1:64" ht="18" customHeight="1">
      <c r="A24" s="1"/>
      <c r="B24" s="101" t="s">
        <v>50</v>
      </c>
      <c r="C24" s="102"/>
      <c r="D24" s="102"/>
      <c r="E24" s="121" t="s">
        <v>51</v>
      </c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19" t="s">
        <v>52</v>
      </c>
      <c r="AV24" s="102"/>
      <c r="AW24" s="102"/>
      <c r="AX24" s="102"/>
      <c r="AY24" s="119" t="s">
        <v>53</v>
      </c>
      <c r="AZ24" s="102"/>
      <c r="BA24" s="102"/>
      <c r="BB24" s="103"/>
      <c r="BC24" s="135" t="s">
        <v>54</v>
      </c>
      <c r="BD24" s="102"/>
      <c r="BE24" s="102"/>
      <c r="BF24" s="102"/>
      <c r="BG24" s="102"/>
      <c r="BH24" s="102"/>
      <c r="BI24" s="102"/>
      <c r="BJ24" s="102"/>
      <c r="BK24" s="102"/>
      <c r="BL24" s="103"/>
    </row>
    <row r="25" spans="1:64" ht="14.5">
      <c r="A25" s="1"/>
      <c r="B25" s="95">
        <v>1</v>
      </c>
      <c r="C25" s="85"/>
      <c r="D25" s="86"/>
      <c r="E25" s="94" t="s">
        <v>55</v>
      </c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6"/>
      <c r="AU25" s="127" t="s">
        <v>39</v>
      </c>
      <c r="AV25" s="85"/>
      <c r="AW25" s="85"/>
      <c r="AX25" s="86"/>
      <c r="AY25" s="96" t="str">
        <f>+IF(AU25="x","-","x")</f>
        <v>-</v>
      </c>
      <c r="AZ25" s="85"/>
      <c r="BA25" s="85"/>
      <c r="BB25" s="86"/>
      <c r="BC25" s="25"/>
      <c r="BD25" s="26"/>
      <c r="BE25" s="26"/>
      <c r="BF25" s="26"/>
      <c r="BG25" s="26"/>
      <c r="BH25" s="26"/>
      <c r="BI25" s="26"/>
      <c r="BJ25" s="26"/>
      <c r="BK25" s="26"/>
      <c r="BL25" s="27"/>
    </row>
    <row r="26" spans="1:64" ht="14.5">
      <c r="A26" s="1"/>
      <c r="B26" s="90"/>
      <c r="C26" s="83"/>
      <c r="D26" s="91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91"/>
      <c r="AU26" s="90"/>
      <c r="AV26" s="83"/>
      <c r="AW26" s="83"/>
      <c r="AX26" s="91"/>
      <c r="AY26" s="90"/>
      <c r="AZ26" s="83"/>
      <c r="BA26" s="83"/>
      <c r="BB26" s="91"/>
      <c r="BC26" s="12"/>
      <c r="BD26" s="1"/>
      <c r="BE26" s="1"/>
      <c r="BF26" s="1"/>
      <c r="BG26" s="1"/>
      <c r="BH26" s="1"/>
      <c r="BI26" s="1"/>
      <c r="BJ26" s="1"/>
      <c r="BK26" s="1"/>
      <c r="BL26" s="17"/>
    </row>
    <row r="27" spans="1:64" ht="14.5">
      <c r="A27" s="1"/>
      <c r="B27" s="87"/>
      <c r="C27" s="88"/>
      <c r="D27" s="89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9"/>
      <c r="AU27" s="87"/>
      <c r="AV27" s="88"/>
      <c r="AW27" s="88"/>
      <c r="AX27" s="89"/>
      <c r="AY27" s="87"/>
      <c r="AZ27" s="88"/>
      <c r="BA27" s="88"/>
      <c r="BB27" s="89"/>
      <c r="BC27" s="20"/>
      <c r="BD27" s="28"/>
      <c r="BE27" s="28"/>
      <c r="BF27" s="28"/>
      <c r="BG27" s="28"/>
      <c r="BH27" s="28"/>
      <c r="BI27" s="28"/>
      <c r="BJ27" s="28"/>
      <c r="BK27" s="28"/>
      <c r="BL27" s="29"/>
    </row>
    <row r="28" spans="1:64" ht="13.5" customHeight="1">
      <c r="A28" s="1"/>
      <c r="B28" s="95">
        <v>2</v>
      </c>
      <c r="C28" s="85"/>
      <c r="D28" s="86"/>
      <c r="E28" s="94" t="s">
        <v>56</v>
      </c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127" t="s">
        <v>39</v>
      </c>
      <c r="AV28" s="85"/>
      <c r="AW28" s="85"/>
      <c r="AX28" s="86"/>
      <c r="AY28" s="96" t="str">
        <f>+IF(AU28="x","-","x")</f>
        <v>-</v>
      </c>
      <c r="AZ28" s="85"/>
      <c r="BA28" s="85"/>
      <c r="BB28" s="86"/>
      <c r="BC28" s="26"/>
      <c r="BD28" s="26"/>
      <c r="BE28" s="26"/>
      <c r="BF28" s="26"/>
      <c r="BG28" s="26"/>
      <c r="BH28" s="26"/>
      <c r="BI28" s="26"/>
      <c r="BJ28" s="26"/>
      <c r="BK28" s="26"/>
      <c r="BL28" s="27"/>
    </row>
    <row r="29" spans="1:64" ht="13.5" customHeight="1">
      <c r="A29" s="1"/>
      <c r="B29" s="90"/>
      <c r="C29" s="83"/>
      <c r="D29" s="91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90"/>
      <c r="AV29" s="83"/>
      <c r="AW29" s="83"/>
      <c r="AX29" s="91"/>
      <c r="AY29" s="90"/>
      <c r="AZ29" s="83"/>
      <c r="BA29" s="83"/>
      <c r="BB29" s="91"/>
      <c r="BC29" s="1"/>
      <c r="BD29" s="1"/>
      <c r="BE29" s="1"/>
      <c r="BF29" s="1"/>
      <c r="BG29" s="1"/>
      <c r="BH29" s="1"/>
      <c r="BI29" s="1"/>
      <c r="BJ29" s="1"/>
      <c r="BK29" s="1"/>
      <c r="BL29" s="17"/>
    </row>
    <row r="30" spans="1:64" ht="13.5" customHeight="1">
      <c r="A30" s="1"/>
      <c r="B30" s="90"/>
      <c r="C30" s="83"/>
      <c r="D30" s="91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90"/>
      <c r="AV30" s="83"/>
      <c r="AW30" s="83"/>
      <c r="AX30" s="91"/>
      <c r="AY30" s="90"/>
      <c r="AZ30" s="83"/>
      <c r="BA30" s="83"/>
      <c r="BB30" s="91"/>
      <c r="BC30" s="1"/>
      <c r="BD30" s="1"/>
      <c r="BE30" s="1"/>
      <c r="BF30" s="1"/>
      <c r="BG30" s="1"/>
      <c r="BH30" s="1"/>
      <c r="BI30" s="1"/>
      <c r="BJ30" s="1"/>
      <c r="BK30" s="1"/>
      <c r="BL30" s="17"/>
    </row>
    <row r="31" spans="1:64" ht="13.5" customHeight="1">
      <c r="A31" s="1"/>
      <c r="B31" s="90"/>
      <c r="C31" s="83"/>
      <c r="D31" s="91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90"/>
      <c r="AV31" s="83"/>
      <c r="AW31" s="83"/>
      <c r="AX31" s="91"/>
      <c r="AY31" s="90"/>
      <c r="AZ31" s="83"/>
      <c r="BA31" s="83"/>
      <c r="BB31" s="91"/>
      <c r="BC31" s="1"/>
      <c r="BD31" s="1"/>
      <c r="BE31" s="1"/>
      <c r="BF31" s="1"/>
      <c r="BG31" s="1"/>
      <c r="BH31" s="1"/>
      <c r="BI31" s="1"/>
      <c r="BJ31" s="1"/>
      <c r="BK31" s="1"/>
      <c r="BL31" s="17"/>
    </row>
    <row r="32" spans="1:64" ht="13.5" customHeight="1">
      <c r="A32" s="1"/>
      <c r="B32" s="87"/>
      <c r="C32" s="88"/>
      <c r="D32" s="89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7"/>
      <c r="AV32" s="88"/>
      <c r="AW32" s="88"/>
      <c r="AX32" s="89"/>
      <c r="AY32" s="87"/>
      <c r="AZ32" s="88"/>
      <c r="BA32" s="88"/>
      <c r="BB32" s="89"/>
      <c r="BC32" s="28"/>
      <c r="BD32" s="28"/>
      <c r="BE32" s="28"/>
      <c r="BF32" s="28"/>
      <c r="BG32" s="28"/>
      <c r="BH32" s="28"/>
      <c r="BI32" s="28"/>
      <c r="BJ32" s="28"/>
      <c r="BK32" s="28"/>
      <c r="BL32" s="29"/>
    </row>
    <row r="33" spans="1:64" ht="13.5" customHeight="1">
      <c r="A33" s="1"/>
      <c r="B33" s="95">
        <v>3</v>
      </c>
      <c r="C33" s="85"/>
      <c r="D33" s="86"/>
      <c r="E33" s="94" t="s">
        <v>57</v>
      </c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127" t="s">
        <v>39</v>
      </c>
      <c r="AV33" s="85"/>
      <c r="AW33" s="85"/>
      <c r="AX33" s="86"/>
      <c r="AY33" s="96" t="str">
        <f>IF(AU33="x","-","x")</f>
        <v>-</v>
      </c>
      <c r="AZ33" s="85"/>
      <c r="BA33" s="85"/>
      <c r="BB33" s="86"/>
      <c r="BC33" s="26"/>
      <c r="BD33" s="26"/>
      <c r="BE33" s="26"/>
      <c r="BF33" s="26"/>
      <c r="BG33" s="26"/>
      <c r="BH33" s="26"/>
      <c r="BI33" s="26"/>
      <c r="BJ33" s="26"/>
      <c r="BK33" s="26"/>
      <c r="BL33" s="27"/>
    </row>
    <row r="34" spans="1:64" ht="13.5" customHeight="1">
      <c r="A34" s="1"/>
      <c r="B34" s="90"/>
      <c r="C34" s="83"/>
      <c r="D34" s="91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90"/>
      <c r="AV34" s="83"/>
      <c r="AW34" s="83"/>
      <c r="AX34" s="91"/>
      <c r="AY34" s="90"/>
      <c r="AZ34" s="83"/>
      <c r="BA34" s="83"/>
      <c r="BB34" s="91"/>
      <c r="BC34" s="1"/>
      <c r="BD34" s="1"/>
      <c r="BE34" s="1"/>
      <c r="BF34" s="1"/>
      <c r="BG34" s="1"/>
      <c r="BH34" s="1"/>
      <c r="BI34" s="1"/>
      <c r="BJ34" s="1"/>
      <c r="BK34" s="1"/>
      <c r="BL34" s="17"/>
    </row>
    <row r="35" spans="1:64" ht="13.5" customHeight="1">
      <c r="A35" s="1"/>
      <c r="B35" s="90"/>
      <c r="C35" s="83"/>
      <c r="D35" s="91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90"/>
      <c r="AV35" s="83"/>
      <c r="AW35" s="83"/>
      <c r="AX35" s="91"/>
      <c r="AY35" s="90"/>
      <c r="AZ35" s="83"/>
      <c r="BA35" s="83"/>
      <c r="BB35" s="91"/>
      <c r="BC35" s="1"/>
      <c r="BD35" s="1"/>
      <c r="BE35" s="1"/>
      <c r="BF35" s="1"/>
      <c r="BG35" s="1"/>
      <c r="BH35" s="1"/>
      <c r="BI35" s="1"/>
      <c r="BJ35" s="1"/>
      <c r="BK35" s="1"/>
      <c r="BL35" s="17"/>
    </row>
    <row r="36" spans="1:64" ht="13.5" customHeight="1">
      <c r="A36" s="1"/>
      <c r="B36" s="87"/>
      <c r="C36" s="88"/>
      <c r="D36" s="89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7"/>
      <c r="AV36" s="88"/>
      <c r="AW36" s="88"/>
      <c r="AX36" s="89"/>
      <c r="AY36" s="87"/>
      <c r="AZ36" s="88"/>
      <c r="BA36" s="88"/>
      <c r="BB36" s="89"/>
      <c r="BC36" s="1"/>
      <c r="BD36" s="1"/>
      <c r="BE36" s="1"/>
      <c r="BF36" s="1"/>
      <c r="BG36" s="1"/>
      <c r="BH36" s="1"/>
      <c r="BI36" s="1"/>
      <c r="BJ36" s="1"/>
      <c r="BK36" s="1"/>
      <c r="BL36" s="17"/>
    </row>
    <row r="37" spans="1:64" ht="18" customHeight="1">
      <c r="A37" s="1"/>
      <c r="B37" s="101">
        <v>4</v>
      </c>
      <c r="C37" s="102"/>
      <c r="D37" s="103"/>
      <c r="E37" s="132" t="s">
        <v>58</v>
      </c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97" t="s">
        <v>39</v>
      </c>
      <c r="AV37" s="98"/>
      <c r="AW37" s="98"/>
      <c r="AX37" s="99"/>
      <c r="AY37" s="100" t="str">
        <f t="shared" ref="AY37:AY38" si="0">IF(AU37="x","-","x")</f>
        <v>-</v>
      </c>
      <c r="AZ37" s="83"/>
      <c r="BA37" s="83"/>
      <c r="BB37" s="91"/>
      <c r="BC37" s="31"/>
      <c r="BD37" s="31"/>
      <c r="BE37" s="31"/>
      <c r="BF37" s="31"/>
      <c r="BG37" s="31"/>
      <c r="BH37" s="31"/>
      <c r="BI37" s="31"/>
      <c r="BJ37" s="31"/>
      <c r="BK37" s="31"/>
      <c r="BL37" s="32"/>
    </row>
    <row r="38" spans="1:64" ht="13.5" customHeight="1">
      <c r="A38" s="1"/>
      <c r="B38" s="95">
        <v>5</v>
      </c>
      <c r="C38" s="85"/>
      <c r="D38" s="86"/>
      <c r="E38" s="94" t="s">
        <v>59</v>
      </c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127" t="s">
        <v>39</v>
      </c>
      <c r="AV38" s="85"/>
      <c r="AW38" s="85"/>
      <c r="AX38" s="86"/>
      <c r="AY38" s="96" t="str">
        <f t="shared" si="0"/>
        <v>-</v>
      </c>
      <c r="AZ38" s="85"/>
      <c r="BA38" s="85"/>
      <c r="BB38" s="86"/>
      <c r="BC38" s="26"/>
      <c r="BD38" s="26"/>
      <c r="BE38" s="26"/>
      <c r="BF38" s="26"/>
      <c r="BG38" s="26"/>
      <c r="BH38" s="26"/>
      <c r="BI38" s="26"/>
      <c r="BJ38" s="26"/>
      <c r="BK38" s="26"/>
      <c r="BL38" s="27"/>
    </row>
    <row r="39" spans="1:64" ht="13.5" customHeight="1">
      <c r="A39" s="1"/>
      <c r="B39" s="87"/>
      <c r="C39" s="88"/>
      <c r="D39" s="89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7"/>
      <c r="AV39" s="88"/>
      <c r="AW39" s="88"/>
      <c r="AX39" s="89"/>
      <c r="AY39" s="87"/>
      <c r="AZ39" s="88"/>
      <c r="BA39" s="88"/>
      <c r="BB39" s="89"/>
      <c r="BC39" s="28"/>
      <c r="BD39" s="28"/>
      <c r="BE39" s="28"/>
      <c r="BF39" s="28"/>
      <c r="BG39" s="28"/>
      <c r="BH39" s="28"/>
      <c r="BI39" s="28"/>
      <c r="BJ39" s="28"/>
      <c r="BK39" s="28"/>
      <c r="BL39" s="29"/>
    </row>
    <row r="40" spans="1:64" ht="18" customHeight="1">
      <c r="A40" s="1"/>
      <c r="B40" s="101">
        <v>6</v>
      </c>
      <c r="C40" s="102"/>
      <c r="D40" s="103"/>
      <c r="E40" s="30" t="s">
        <v>60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3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137" t="s">
        <v>39</v>
      </c>
      <c r="AV40" s="117"/>
      <c r="AW40" s="117"/>
      <c r="AX40" s="138"/>
      <c r="AY40" s="139" t="str">
        <f t="shared" ref="AY40:AY42" si="1">IF(AU40="x","-","x")</f>
        <v>-</v>
      </c>
      <c r="AZ40" s="88"/>
      <c r="BA40" s="88"/>
      <c r="BB40" s="89"/>
      <c r="BC40" s="31"/>
      <c r="BD40" s="31"/>
      <c r="BE40" s="31"/>
      <c r="BF40" s="31"/>
      <c r="BG40" s="31"/>
      <c r="BH40" s="31"/>
      <c r="BI40" s="31"/>
      <c r="BJ40" s="31"/>
      <c r="BK40" s="31"/>
      <c r="BL40" s="32"/>
    </row>
    <row r="41" spans="1:64" ht="18" customHeight="1">
      <c r="A41" s="1"/>
      <c r="B41" s="101">
        <v>7</v>
      </c>
      <c r="C41" s="102"/>
      <c r="D41" s="103"/>
      <c r="E41" s="132" t="s">
        <v>61</v>
      </c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3"/>
      <c r="AU41" s="97" t="s">
        <v>39</v>
      </c>
      <c r="AV41" s="98"/>
      <c r="AW41" s="98"/>
      <c r="AX41" s="99"/>
      <c r="AY41" s="100" t="str">
        <f t="shared" si="1"/>
        <v>-</v>
      </c>
      <c r="AZ41" s="83"/>
      <c r="BA41" s="83"/>
      <c r="BB41" s="91"/>
      <c r="BC41" s="31"/>
      <c r="BD41" s="31"/>
      <c r="BE41" s="31"/>
      <c r="BF41" s="31"/>
      <c r="BG41" s="31"/>
      <c r="BH41" s="31"/>
      <c r="BI41" s="31"/>
      <c r="BJ41" s="31"/>
      <c r="BK41" s="31"/>
      <c r="BL41" s="32"/>
    </row>
    <row r="42" spans="1:64" ht="13.5" customHeight="1">
      <c r="A42" s="1"/>
      <c r="B42" s="95">
        <v>8</v>
      </c>
      <c r="C42" s="85"/>
      <c r="D42" s="86"/>
      <c r="E42" s="94" t="s">
        <v>62</v>
      </c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6"/>
      <c r="AU42" s="127" t="s">
        <v>39</v>
      </c>
      <c r="AV42" s="85"/>
      <c r="AW42" s="85"/>
      <c r="AX42" s="86"/>
      <c r="AY42" s="96" t="str">
        <f t="shared" si="1"/>
        <v>-</v>
      </c>
      <c r="AZ42" s="85"/>
      <c r="BA42" s="85"/>
      <c r="BB42" s="86"/>
      <c r="BC42" s="1"/>
      <c r="BD42" s="1"/>
      <c r="BE42" s="1"/>
      <c r="BF42" s="1"/>
      <c r="BG42" s="1"/>
      <c r="BH42" s="1"/>
      <c r="BI42" s="1"/>
      <c r="BJ42" s="1"/>
      <c r="BK42" s="1"/>
      <c r="BL42" s="17"/>
    </row>
    <row r="43" spans="1:64" ht="13.5" customHeight="1">
      <c r="A43" s="1"/>
      <c r="B43" s="90"/>
      <c r="C43" s="83"/>
      <c r="D43" s="91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91"/>
      <c r="AU43" s="87"/>
      <c r="AV43" s="88"/>
      <c r="AW43" s="88"/>
      <c r="AX43" s="89"/>
      <c r="AY43" s="87"/>
      <c r="AZ43" s="88"/>
      <c r="BA43" s="88"/>
      <c r="BB43" s="89"/>
      <c r="BC43" s="1"/>
      <c r="BD43" s="1"/>
      <c r="BE43" s="1"/>
      <c r="BF43" s="1"/>
      <c r="BG43" s="1"/>
      <c r="BH43" s="1"/>
      <c r="BI43" s="1"/>
      <c r="BJ43" s="1"/>
      <c r="BK43" s="1"/>
      <c r="BL43" s="17"/>
    </row>
    <row r="44" spans="1:64" ht="18" customHeight="1">
      <c r="A44" s="1"/>
      <c r="B44" s="101">
        <v>9</v>
      </c>
      <c r="C44" s="102"/>
      <c r="D44" s="103"/>
      <c r="E44" s="34" t="s">
        <v>63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5"/>
      <c r="AE44" s="35"/>
      <c r="AF44" s="35"/>
      <c r="AG44" s="35"/>
      <c r="AH44" s="35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97" t="s">
        <v>39</v>
      </c>
      <c r="AV44" s="98"/>
      <c r="AW44" s="98"/>
      <c r="AX44" s="99"/>
      <c r="AY44" s="100" t="str">
        <f t="shared" ref="AY44:AY45" si="2">IF(AU44="x","-","x")</f>
        <v>-</v>
      </c>
      <c r="AZ44" s="83"/>
      <c r="BA44" s="83"/>
      <c r="BB44" s="91"/>
      <c r="BC44" s="31"/>
      <c r="BD44" s="31"/>
      <c r="BE44" s="31"/>
      <c r="BF44" s="31"/>
      <c r="BG44" s="31"/>
      <c r="BH44" s="31"/>
      <c r="BI44" s="31"/>
      <c r="BJ44" s="31"/>
      <c r="BK44" s="31"/>
      <c r="BL44" s="32"/>
    </row>
    <row r="45" spans="1:64" ht="18" customHeight="1">
      <c r="A45" s="1"/>
      <c r="B45" s="95">
        <v>10</v>
      </c>
      <c r="C45" s="85"/>
      <c r="D45" s="86"/>
      <c r="E45" s="126" t="s">
        <v>64</v>
      </c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6"/>
      <c r="AU45" s="127" t="s">
        <v>39</v>
      </c>
      <c r="AV45" s="85"/>
      <c r="AW45" s="85"/>
      <c r="AX45" s="86"/>
      <c r="AY45" s="96" t="str">
        <f t="shared" si="2"/>
        <v>-</v>
      </c>
      <c r="AZ45" s="85"/>
      <c r="BA45" s="85"/>
      <c r="BB45" s="86"/>
      <c r="BC45" s="26"/>
      <c r="BD45" s="26"/>
      <c r="BE45" s="26"/>
      <c r="BF45" s="26"/>
      <c r="BG45" s="26"/>
      <c r="BH45" s="26"/>
      <c r="BI45" s="26"/>
      <c r="BJ45" s="26"/>
      <c r="BK45" s="26"/>
      <c r="BL45" s="27"/>
    </row>
    <row r="46" spans="1:64" ht="18" customHeight="1">
      <c r="A46" s="1"/>
      <c r="B46" s="87"/>
      <c r="C46" s="88"/>
      <c r="D46" s="89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9"/>
      <c r="AU46" s="87"/>
      <c r="AV46" s="88"/>
      <c r="AW46" s="88"/>
      <c r="AX46" s="89"/>
      <c r="AY46" s="87"/>
      <c r="AZ46" s="88"/>
      <c r="BA46" s="88"/>
      <c r="BB46" s="89"/>
      <c r="BC46" s="28"/>
      <c r="BD46" s="28"/>
      <c r="BE46" s="28"/>
      <c r="BF46" s="28"/>
      <c r="BG46" s="28"/>
      <c r="BH46" s="28"/>
      <c r="BI46" s="28"/>
      <c r="BJ46" s="28"/>
      <c r="BK46" s="28"/>
      <c r="BL46" s="29"/>
    </row>
    <row r="47" spans="1:64" ht="18" customHeight="1">
      <c r="A47" s="1"/>
      <c r="B47" s="95">
        <v>11</v>
      </c>
      <c r="C47" s="85"/>
      <c r="D47" s="86"/>
      <c r="E47" s="128" t="s">
        <v>65</v>
      </c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6"/>
      <c r="AU47" s="127" t="s">
        <v>39</v>
      </c>
      <c r="AV47" s="85"/>
      <c r="AW47" s="85"/>
      <c r="AX47" s="86"/>
      <c r="AY47" s="96" t="str">
        <f>IF(AU47="x","-","x")</f>
        <v>-</v>
      </c>
      <c r="AZ47" s="85"/>
      <c r="BA47" s="85"/>
      <c r="BB47" s="86"/>
      <c r="BC47" s="26"/>
      <c r="BD47" s="26"/>
      <c r="BE47" s="26"/>
      <c r="BF47" s="26"/>
      <c r="BG47" s="26"/>
      <c r="BH47" s="26"/>
      <c r="BI47" s="26"/>
      <c r="BJ47" s="26"/>
      <c r="BK47" s="26"/>
      <c r="BL47" s="27"/>
    </row>
    <row r="48" spans="1:64" ht="18" customHeight="1">
      <c r="A48" s="1"/>
      <c r="B48" s="87"/>
      <c r="C48" s="88"/>
      <c r="D48" s="89"/>
      <c r="E48" s="87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9"/>
      <c r="AU48" s="87"/>
      <c r="AV48" s="88"/>
      <c r="AW48" s="88"/>
      <c r="AX48" s="89"/>
      <c r="AY48" s="87"/>
      <c r="AZ48" s="88"/>
      <c r="BA48" s="88"/>
      <c r="BB48" s="89"/>
      <c r="BC48" s="28"/>
      <c r="BD48" s="28"/>
      <c r="BE48" s="28"/>
      <c r="BF48" s="28"/>
      <c r="BG48" s="28"/>
      <c r="BH48" s="28"/>
      <c r="BI48" s="28"/>
      <c r="BJ48" s="28"/>
      <c r="BK48" s="28"/>
      <c r="BL48" s="29"/>
    </row>
    <row r="49" spans="1:64" ht="18" customHeight="1">
      <c r="A49" s="1"/>
      <c r="B49" s="101">
        <v>12</v>
      </c>
      <c r="C49" s="102"/>
      <c r="D49" s="103"/>
      <c r="E49" s="131" t="s">
        <v>66</v>
      </c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3"/>
      <c r="AU49" s="97" t="s">
        <v>39</v>
      </c>
      <c r="AV49" s="98"/>
      <c r="AW49" s="98"/>
      <c r="AX49" s="99"/>
      <c r="AY49" s="100" t="str">
        <f>IF(AU49="x","-","x")</f>
        <v>-</v>
      </c>
      <c r="AZ49" s="83"/>
      <c r="BA49" s="83"/>
      <c r="BB49" s="91"/>
      <c r="BC49" s="31"/>
      <c r="BD49" s="31"/>
      <c r="BE49" s="31"/>
      <c r="BF49" s="31"/>
      <c r="BG49" s="31"/>
      <c r="BH49" s="31"/>
      <c r="BI49" s="31"/>
      <c r="BJ49" s="31"/>
      <c r="BK49" s="31"/>
      <c r="BL49" s="32"/>
    </row>
    <row r="50" spans="1:64" ht="18" customHeight="1">
      <c r="A50" s="1"/>
      <c r="B50" s="123" t="s">
        <v>67</v>
      </c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3"/>
    </row>
    <row r="51" spans="1:64" ht="7.5" customHeight="1">
      <c r="A51" s="1"/>
      <c r="B51" s="1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"/>
      <c r="AE51" s="2"/>
      <c r="AF51" s="2"/>
      <c r="AG51" s="36"/>
      <c r="AH51" s="2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37"/>
    </row>
    <row r="52" spans="1:64" ht="32.25" customHeight="1">
      <c r="A52" s="1"/>
      <c r="B52" s="12"/>
      <c r="C52" s="130" t="s">
        <v>68</v>
      </c>
      <c r="D52" s="83"/>
      <c r="E52" s="83"/>
      <c r="F52" s="83"/>
      <c r="G52" s="39"/>
      <c r="H52" s="38" t="s">
        <v>16</v>
      </c>
      <c r="I52" s="1"/>
      <c r="J52" s="140" t="str">
        <f>IF(AND($BC$7="-",$BC$8="-"),"",IF(AND($BC$7="x",$AU$25="x",$AU$28="x",$AU$33="x",$AU$37="x",$AU$38="x",$AU$40="x",$AU$41="x",$AU$42="x",$AU$44="x",$AU$45="x",$AU$47="x",$AU$49="x"),"✓",IF(AND($BC$8="x",$AU$25="x",$AU$28="x",$AU$33="x",$AU$37="x",$AU$38="x",$AU$40="x",$AU$41="x",$AU$42="x",$AU$44="x",$AU$45="x",$AU$49="x"),"✓","")))</f>
        <v>✓</v>
      </c>
      <c r="K52" s="102"/>
      <c r="L52" s="102"/>
      <c r="M52" s="103"/>
      <c r="N52" s="12"/>
      <c r="O52" s="141" t="s">
        <v>69</v>
      </c>
      <c r="P52" s="83"/>
      <c r="Q52" s="83"/>
      <c r="R52" s="83"/>
      <c r="S52" s="83"/>
      <c r="T52" s="83"/>
      <c r="U52" s="1"/>
      <c r="V52" s="140" t="str">
        <f>IF(AND($BC$7="-",$BC$8="-"),"",IF(AND($BC$7="x",OR($AY$25="x",$AY$28="x",$AY$33="x",$AY$37="x",$AY$38="x",$AY$40="x",$AY$41="x",$AY$42="x",$AY$44="x",$AY$45="x",$AY$47="x",$AY$49="x")),"✓",IF(AND($BC$8="x",OR($AY$28="x",$AY$33="x",$AY$37="x",$AY$38="x",$AY$40="x",$AY$41="x",$AY$42="x",$AY$44="x",$AY$45="x",$AY$47="x",$AY$49="x")),"✓","")))</f>
        <v/>
      </c>
      <c r="W52" s="102"/>
      <c r="X52" s="102"/>
      <c r="Y52" s="103"/>
      <c r="Z52" s="1"/>
      <c r="AA52" s="141" t="s">
        <v>70</v>
      </c>
      <c r="AB52" s="83"/>
      <c r="AC52" s="83"/>
      <c r="AD52" s="83"/>
      <c r="AE52" s="83"/>
      <c r="AF52" s="83"/>
      <c r="AG52" s="40"/>
      <c r="AH52" s="142" t="s">
        <v>71</v>
      </c>
      <c r="AI52" s="83"/>
      <c r="AJ52" s="83"/>
      <c r="AK52" s="83"/>
      <c r="AL52" s="83"/>
      <c r="AM52" s="83"/>
      <c r="AN52" s="83"/>
      <c r="AO52" s="83"/>
      <c r="AP52" s="41" t="s">
        <v>16</v>
      </c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37"/>
    </row>
    <row r="53" spans="1:64" ht="7.5" customHeight="1">
      <c r="A53" s="1"/>
      <c r="B53" s="20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43"/>
      <c r="AE53" s="43"/>
      <c r="AF53" s="43"/>
      <c r="AG53" s="44"/>
      <c r="AH53" s="43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45"/>
    </row>
    <row r="54" spans="1:64" ht="9.75" customHeight="1">
      <c r="A54" s="1"/>
      <c r="B54" s="95" t="s">
        <v>72</v>
      </c>
      <c r="C54" s="85"/>
      <c r="D54" s="85"/>
      <c r="E54" s="85"/>
      <c r="F54" s="85"/>
      <c r="G54" s="85"/>
      <c r="H54" s="129" t="s">
        <v>16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"/>
      <c r="AE54" s="2"/>
      <c r="AF54" s="2"/>
      <c r="AG54" s="2"/>
      <c r="AH54" s="2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37"/>
    </row>
    <row r="55" spans="1:64" ht="37.5" customHeight="1">
      <c r="A55" s="1"/>
      <c r="B55" s="90"/>
      <c r="C55" s="83"/>
      <c r="D55" s="83"/>
      <c r="E55" s="83"/>
      <c r="F55" s="83"/>
      <c r="G55" s="83"/>
      <c r="H55" s="83"/>
      <c r="I55" s="46" t="s">
        <v>73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7"/>
      <c r="AE55" s="47"/>
      <c r="AF55" s="47"/>
      <c r="AG55" s="47"/>
      <c r="AH55" s="47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37"/>
    </row>
    <row r="56" spans="1:64" ht="9.75" customHeight="1">
      <c r="A56" s="1"/>
      <c r="B56" s="87"/>
      <c r="C56" s="88"/>
      <c r="D56" s="88"/>
      <c r="E56" s="88"/>
      <c r="F56" s="88"/>
      <c r="G56" s="88"/>
      <c r="H56" s="8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43"/>
      <c r="AE56" s="43"/>
      <c r="AF56" s="43"/>
      <c r="AG56" s="43"/>
      <c r="AH56" s="43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45"/>
    </row>
    <row r="57" spans="1:64" ht="8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"/>
      <c r="AE57" s="2"/>
      <c r="AF57" s="2"/>
      <c r="AG57" s="2"/>
      <c r="AH57" s="2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spans="1:6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"/>
      <c r="AE58" s="2"/>
      <c r="AF58" s="2"/>
      <c r="AG58" s="2"/>
      <c r="AH58" s="2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spans="1:6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"/>
      <c r="AE59" s="2"/>
      <c r="AF59" s="2"/>
      <c r="AG59" s="2"/>
      <c r="AH59" s="2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spans="1:6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"/>
      <c r="AE60" s="2"/>
      <c r="AF60" s="2"/>
      <c r="AG60" s="2"/>
      <c r="AH60" s="2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spans="1:6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tr">
        <f>IF(AND(Data!BC7="-",Data!BC8="-"),"",IF(AND(CA37="BATAL",BL40="x",BL41="x",BL42="x",BL44="x",BL46="x",BL47="x",BL48="x",BL51="x",BL53="x",),"✓",""))</f>
        <v/>
      </c>
      <c r="U61" s="1"/>
      <c r="V61" s="1"/>
      <c r="W61" s="1"/>
      <c r="X61" s="1"/>
      <c r="Y61" s="1"/>
      <c r="Z61" s="1"/>
      <c r="AA61" s="1"/>
      <c r="AB61" s="1"/>
      <c r="AC61" s="1"/>
      <c r="AD61" s="2"/>
      <c r="AE61" s="2"/>
      <c r="AF61" s="2"/>
      <c r="AG61" s="2"/>
      <c r="AH61" s="2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spans="1:6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"/>
      <c r="AE62" s="2"/>
      <c r="AF62" s="2"/>
      <c r="AG62" s="2"/>
      <c r="AH62" s="2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spans="1:6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"/>
      <c r="AE63" s="2"/>
      <c r="AF63" s="2"/>
      <c r="AG63" s="2"/>
      <c r="AH63" s="2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spans="1: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"/>
      <c r="AE64" s="2"/>
      <c r="AF64" s="2"/>
      <c r="AG64" s="2"/>
      <c r="AH64" s="2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spans="1:6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"/>
      <c r="AE65" s="2"/>
      <c r="AF65" s="2"/>
      <c r="AG65" s="2"/>
      <c r="AH65" s="2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1:6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"/>
      <c r="AE66" s="2"/>
      <c r="AF66" s="2"/>
      <c r="AG66" s="2"/>
      <c r="AH66" s="2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1:6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"/>
      <c r="AE67" s="2"/>
      <c r="AF67" s="2"/>
      <c r="AG67" s="2"/>
      <c r="AH67" s="2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1:6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"/>
      <c r="AE68" s="2"/>
      <c r="AF68" s="2"/>
      <c r="AG68" s="2"/>
      <c r="AH68" s="2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1:6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"/>
      <c r="AE69" s="2"/>
      <c r="AF69" s="2"/>
      <c r="AG69" s="2"/>
      <c r="AH69" s="2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1:6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"/>
      <c r="AE70" s="2"/>
      <c r="AF70" s="2"/>
      <c r="AG70" s="2"/>
      <c r="AH70" s="2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1:6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"/>
      <c r="AE71" s="2"/>
      <c r="AF71" s="2"/>
      <c r="AG71" s="2"/>
      <c r="AH71" s="2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1:6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"/>
      <c r="AE72" s="2"/>
      <c r="AF72" s="2"/>
      <c r="AG72" s="2"/>
      <c r="AH72" s="2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1:6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"/>
      <c r="AE73" s="2"/>
      <c r="AF73" s="2"/>
      <c r="AG73" s="2"/>
      <c r="AH73" s="2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1:6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"/>
      <c r="AE74" s="2"/>
      <c r="AF74" s="2"/>
      <c r="AG74" s="2"/>
      <c r="AH74" s="2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1:6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2"/>
      <c r="AE75" s="2"/>
      <c r="AF75" s="2"/>
      <c r="AG75" s="2"/>
      <c r="AH75" s="2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1:6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2"/>
      <c r="AE76" s="2"/>
      <c r="AF76" s="2"/>
      <c r="AG76" s="2"/>
      <c r="AH76" s="2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1:6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2"/>
      <c r="AE77" s="2"/>
      <c r="AF77" s="2"/>
      <c r="AG77" s="2"/>
      <c r="AH77" s="2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1:6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2"/>
      <c r="AE78" s="2"/>
      <c r="AF78" s="2"/>
      <c r="AG78" s="2"/>
      <c r="AH78" s="2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1:6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2"/>
      <c r="AE79" s="2"/>
      <c r="AF79" s="2"/>
      <c r="AG79" s="2"/>
      <c r="AH79" s="2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2"/>
      <c r="AE80" s="2"/>
      <c r="AF80" s="2"/>
      <c r="AG80" s="2"/>
      <c r="AH80" s="2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2"/>
      <c r="AE81" s="2"/>
      <c r="AF81" s="2"/>
      <c r="AG81" s="2"/>
      <c r="AH81" s="2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2"/>
      <c r="AE82" s="2"/>
      <c r="AF82" s="2"/>
      <c r="AG82" s="2"/>
      <c r="AH82" s="2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2"/>
      <c r="AE83" s="2"/>
      <c r="AF83" s="2"/>
      <c r="AG83" s="2"/>
      <c r="AH83" s="2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2"/>
      <c r="AE84" s="2"/>
      <c r="AF84" s="2"/>
      <c r="AG84" s="2"/>
      <c r="AH84" s="2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2"/>
      <c r="AE85" s="2"/>
      <c r="AF85" s="2"/>
      <c r="AG85" s="2"/>
      <c r="AH85" s="2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2"/>
      <c r="AE86" s="2"/>
      <c r="AF86" s="2"/>
      <c r="AG86" s="2"/>
      <c r="AH86" s="2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2"/>
      <c r="AE87" s="2"/>
      <c r="AF87" s="2"/>
      <c r="AG87" s="2"/>
      <c r="AH87" s="2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2"/>
      <c r="AE88" s="2"/>
      <c r="AF88" s="2"/>
      <c r="AG88" s="2"/>
      <c r="AH88" s="2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2"/>
      <c r="AE89" s="2"/>
      <c r="AF89" s="2"/>
      <c r="AG89" s="2"/>
      <c r="AH89" s="2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2"/>
      <c r="AE90" s="2"/>
      <c r="AF90" s="2"/>
      <c r="AG90" s="2"/>
      <c r="AH90" s="2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2"/>
      <c r="AE91" s="2"/>
      <c r="AF91" s="2"/>
      <c r="AG91" s="2"/>
      <c r="AH91" s="2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2"/>
      <c r="AE92" s="2"/>
      <c r="AF92" s="2"/>
      <c r="AG92" s="2"/>
      <c r="AH92" s="2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2"/>
      <c r="AE93" s="2"/>
      <c r="AF93" s="2"/>
      <c r="AG93" s="2"/>
      <c r="AH93" s="2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2"/>
      <c r="AE94" s="2"/>
      <c r="AF94" s="2"/>
      <c r="AG94" s="2"/>
      <c r="AH94" s="2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2"/>
      <c r="AE95" s="2"/>
      <c r="AF95" s="2"/>
      <c r="AG95" s="2"/>
      <c r="AH95" s="2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2"/>
      <c r="AE96" s="2"/>
      <c r="AF96" s="2"/>
      <c r="AG96" s="2"/>
      <c r="AH96" s="2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2"/>
      <c r="AE97" s="2"/>
      <c r="AF97" s="2"/>
      <c r="AG97" s="2"/>
      <c r="AH97" s="2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2"/>
      <c r="AE98" s="2"/>
      <c r="AF98" s="2"/>
      <c r="AG98" s="2"/>
      <c r="AH98" s="2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2"/>
      <c r="AE99" s="2"/>
      <c r="AF99" s="2"/>
      <c r="AG99" s="2"/>
      <c r="AH99" s="2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2"/>
      <c r="AE100" s="2"/>
      <c r="AF100" s="2"/>
      <c r="AG100" s="2"/>
      <c r="AH100" s="2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2"/>
      <c r="AE101" s="2"/>
      <c r="AF101" s="2"/>
      <c r="AG101" s="2"/>
      <c r="AH101" s="2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2"/>
      <c r="AE102" s="2"/>
      <c r="AF102" s="2"/>
      <c r="AG102" s="2"/>
      <c r="AH102" s="2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2"/>
      <c r="AE103" s="2"/>
      <c r="AF103" s="2"/>
      <c r="AG103" s="2"/>
      <c r="AH103" s="2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2"/>
      <c r="AE104" s="2"/>
      <c r="AF104" s="2"/>
      <c r="AG104" s="2"/>
      <c r="AH104" s="2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2"/>
      <c r="AE105" s="2"/>
      <c r="AF105" s="2"/>
      <c r="AG105" s="2"/>
      <c r="AH105" s="2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2"/>
      <c r="AE106" s="2"/>
      <c r="AF106" s="2"/>
      <c r="AG106" s="2"/>
      <c r="AH106" s="2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2"/>
      <c r="AE107" s="2"/>
      <c r="AF107" s="2"/>
      <c r="AG107" s="2"/>
      <c r="AH107" s="2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2"/>
      <c r="AE108" s="2"/>
      <c r="AF108" s="2"/>
      <c r="AG108" s="2"/>
      <c r="AH108" s="2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2"/>
      <c r="AE109" s="2"/>
      <c r="AF109" s="2"/>
      <c r="AG109" s="2"/>
      <c r="AH109" s="2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2"/>
      <c r="AE110" s="2"/>
      <c r="AF110" s="2"/>
      <c r="AG110" s="2"/>
      <c r="AH110" s="2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2"/>
      <c r="AE111" s="2"/>
      <c r="AF111" s="2"/>
      <c r="AG111" s="2"/>
      <c r="AH111" s="2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2"/>
      <c r="AE112" s="2"/>
      <c r="AF112" s="2"/>
      <c r="AG112" s="2"/>
      <c r="AH112" s="2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2"/>
      <c r="AE113" s="2"/>
      <c r="AF113" s="2"/>
      <c r="AG113" s="2"/>
      <c r="AH113" s="2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2"/>
      <c r="AE114" s="2"/>
      <c r="AF114" s="2"/>
      <c r="AG114" s="2"/>
      <c r="AH114" s="2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2"/>
      <c r="AE115" s="2"/>
      <c r="AF115" s="2"/>
      <c r="AG115" s="2"/>
      <c r="AH115" s="2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2"/>
      <c r="AE116" s="2"/>
      <c r="AF116" s="2"/>
      <c r="AG116" s="2"/>
      <c r="AH116" s="2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2"/>
      <c r="AE117" s="2"/>
      <c r="AF117" s="2"/>
      <c r="AG117" s="2"/>
      <c r="AH117" s="2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2"/>
      <c r="AE118" s="2"/>
      <c r="AF118" s="2"/>
      <c r="AG118" s="2"/>
      <c r="AH118" s="2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"/>
      <c r="AE119" s="2"/>
      <c r="AF119" s="2"/>
      <c r="AG119" s="2"/>
      <c r="AH119" s="2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"/>
      <c r="AE120" s="2"/>
      <c r="AF120" s="2"/>
      <c r="AG120" s="2"/>
      <c r="AH120" s="2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2"/>
      <c r="AE121" s="2"/>
      <c r="AF121" s="2"/>
      <c r="AG121" s="2"/>
      <c r="AH121" s="2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2"/>
      <c r="AE122" s="2"/>
      <c r="AF122" s="2"/>
      <c r="AG122" s="2"/>
      <c r="AH122" s="2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2"/>
      <c r="AE123" s="2"/>
      <c r="AF123" s="2"/>
      <c r="AG123" s="2"/>
      <c r="AH123" s="2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spans="1:6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2"/>
      <c r="AE124" s="2"/>
      <c r="AF124" s="2"/>
      <c r="AG124" s="2"/>
      <c r="AH124" s="2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spans="1:6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2"/>
      <c r="AE125" s="2"/>
      <c r="AF125" s="2"/>
      <c r="AG125" s="2"/>
      <c r="AH125" s="2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spans="1:6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2"/>
      <c r="AE126" s="2"/>
      <c r="AF126" s="2"/>
      <c r="AG126" s="2"/>
      <c r="AH126" s="2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spans="1:6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2"/>
      <c r="AE127" s="2"/>
      <c r="AF127" s="2"/>
      <c r="AG127" s="2"/>
      <c r="AH127" s="2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spans="1:6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2"/>
      <c r="AE128" s="2"/>
      <c r="AF128" s="2"/>
      <c r="AG128" s="2"/>
      <c r="AH128" s="2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spans="1:6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2"/>
      <c r="AE129" s="2"/>
      <c r="AF129" s="2"/>
      <c r="AG129" s="2"/>
      <c r="AH129" s="2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spans="1:6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2"/>
      <c r="AE130" s="2"/>
      <c r="AF130" s="2"/>
      <c r="AG130" s="2"/>
      <c r="AH130" s="2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spans="1:6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2"/>
      <c r="AE131" s="2"/>
      <c r="AF131" s="2"/>
      <c r="AG131" s="2"/>
      <c r="AH131" s="2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spans="1:6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2"/>
      <c r="AE132" s="2"/>
      <c r="AF132" s="2"/>
      <c r="AG132" s="2"/>
      <c r="AH132" s="2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spans="1:6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2"/>
      <c r="AE133" s="2"/>
      <c r="AF133" s="2"/>
      <c r="AG133" s="2"/>
      <c r="AH133" s="2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spans="1:6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2"/>
      <c r="AE134" s="2"/>
      <c r="AF134" s="2"/>
      <c r="AG134" s="2"/>
      <c r="AH134" s="2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spans="1:6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2"/>
      <c r="AE135" s="2"/>
      <c r="AF135" s="2"/>
      <c r="AG135" s="2"/>
      <c r="AH135" s="2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spans="1:6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2"/>
      <c r="AE136" s="2"/>
      <c r="AF136" s="2"/>
      <c r="AG136" s="2"/>
      <c r="AH136" s="2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spans="1:6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2"/>
      <c r="AE137" s="2"/>
      <c r="AF137" s="2"/>
      <c r="AG137" s="2"/>
      <c r="AH137" s="2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spans="1:6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2"/>
      <c r="AE138" s="2"/>
      <c r="AF138" s="2"/>
      <c r="AG138" s="2"/>
      <c r="AH138" s="2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spans="1:6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2"/>
      <c r="AE139" s="2"/>
      <c r="AF139" s="2"/>
      <c r="AG139" s="2"/>
      <c r="AH139" s="2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spans="1:6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2"/>
      <c r="AE140" s="2"/>
      <c r="AF140" s="2"/>
      <c r="AG140" s="2"/>
      <c r="AH140" s="2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spans="1:6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2"/>
      <c r="AE141" s="2"/>
      <c r="AF141" s="2"/>
      <c r="AG141" s="2"/>
      <c r="AH141" s="2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spans="1:6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2"/>
      <c r="AE142" s="2"/>
      <c r="AF142" s="2"/>
      <c r="AG142" s="2"/>
      <c r="AH142" s="2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spans="1:6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2"/>
      <c r="AE143" s="2"/>
      <c r="AF143" s="2"/>
      <c r="AG143" s="2"/>
      <c r="AH143" s="2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spans="1:6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2"/>
      <c r="AE144" s="2"/>
      <c r="AF144" s="2"/>
      <c r="AG144" s="2"/>
      <c r="AH144" s="2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spans="1:6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2"/>
      <c r="AE145" s="2"/>
      <c r="AF145" s="2"/>
      <c r="AG145" s="2"/>
      <c r="AH145" s="2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spans="1:6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2"/>
      <c r="AE146" s="2"/>
      <c r="AF146" s="2"/>
      <c r="AG146" s="2"/>
      <c r="AH146" s="2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spans="1:6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2"/>
      <c r="AE147" s="2"/>
      <c r="AF147" s="2"/>
      <c r="AG147" s="2"/>
      <c r="AH147" s="2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spans="1:6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2"/>
      <c r="AE148" s="2"/>
      <c r="AF148" s="2"/>
      <c r="AG148" s="2"/>
      <c r="AH148" s="2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spans="1:6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2"/>
      <c r="AE149" s="2"/>
      <c r="AF149" s="2"/>
      <c r="AG149" s="2"/>
      <c r="AH149" s="2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spans="1:6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2"/>
      <c r="AE150" s="2"/>
      <c r="AF150" s="2"/>
      <c r="AG150" s="2"/>
      <c r="AH150" s="2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spans="1:6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2"/>
      <c r="AE151" s="2"/>
      <c r="AF151" s="2"/>
      <c r="AG151" s="2"/>
      <c r="AH151" s="2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spans="1:6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2"/>
      <c r="AE152" s="2"/>
      <c r="AF152" s="2"/>
      <c r="AG152" s="2"/>
      <c r="AH152" s="2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spans="1:6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2"/>
      <c r="AE153" s="2"/>
      <c r="AF153" s="2"/>
      <c r="AG153" s="2"/>
      <c r="AH153" s="2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spans="1:6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2"/>
      <c r="AE154" s="2"/>
      <c r="AF154" s="2"/>
      <c r="AG154" s="2"/>
      <c r="AH154" s="2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spans="1:6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2"/>
      <c r="AE155" s="2"/>
      <c r="AF155" s="2"/>
      <c r="AG155" s="2"/>
      <c r="AH155" s="2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spans="1:6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2"/>
      <c r="AE156" s="2"/>
      <c r="AF156" s="2"/>
      <c r="AG156" s="2"/>
      <c r="AH156" s="2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spans="1:6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2"/>
      <c r="AE157" s="2"/>
      <c r="AF157" s="2"/>
      <c r="AG157" s="2"/>
      <c r="AH157" s="2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spans="1:6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2"/>
      <c r="AE158" s="2"/>
      <c r="AF158" s="2"/>
      <c r="AG158" s="2"/>
      <c r="AH158" s="2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spans="1:6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2"/>
      <c r="AE159" s="2"/>
      <c r="AF159" s="2"/>
      <c r="AG159" s="2"/>
      <c r="AH159" s="2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spans="1:6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2"/>
      <c r="AE160" s="2"/>
      <c r="AF160" s="2"/>
      <c r="AG160" s="2"/>
      <c r="AH160" s="2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spans="1:6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2"/>
      <c r="AE161" s="2"/>
      <c r="AF161" s="2"/>
      <c r="AG161" s="2"/>
      <c r="AH161" s="2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spans="1:6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2"/>
      <c r="AE162" s="2"/>
      <c r="AF162" s="2"/>
      <c r="AG162" s="2"/>
      <c r="AH162" s="2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spans="1: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2"/>
      <c r="AE163" s="2"/>
      <c r="AF163" s="2"/>
      <c r="AG163" s="2"/>
      <c r="AH163" s="2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spans="1:6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2"/>
      <c r="AE164" s="2"/>
      <c r="AF164" s="2"/>
      <c r="AG164" s="2"/>
      <c r="AH164" s="2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spans="1:6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2"/>
      <c r="AE165" s="2"/>
      <c r="AF165" s="2"/>
      <c r="AG165" s="2"/>
      <c r="AH165" s="2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spans="1:6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2"/>
      <c r="AE166" s="2"/>
      <c r="AF166" s="2"/>
      <c r="AG166" s="2"/>
      <c r="AH166" s="2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spans="1:6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2"/>
      <c r="AE167" s="2"/>
      <c r="AF167" s="2"/>
      <c r="AG167" s="2"/>
      <c r="AH167" s="2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spans="1:6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2"/>
      <c r="AE168" s="2"/>
      <c r="AF168" s="2"/>
      <c r="AG168" s="2"/>
      <c r="AH168" s="2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spans="1:6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2"/>
      <c r="AE169" s="2"/>
      <c r="AF169" s="2"/>
      <c r="AG169" s="2"/>
      <c r="AH169" s="2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spans="1:6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2"/>
      <c r="AE170" s="2"/>
      <c r="AF170" s="2"/>
      <c r="AG170" s="2"/>
      <c r="AH170" s="2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spans="1:6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2"/>
      <c r="AE171" s="2"/>
      <c r="AF171" s="2"/>
      <c r="AG171" s="2"/>
      <c r="AH171" s="2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spans="1:6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2"/>
      <c r="AE172" s="2"/>
      <c r="AF172" s="2"/>
      <c r="AG172" s="2"/>
      <c r="AH172" s="2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spans="1:6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2"/>
      <c r="AE173" s="2"/>
      <c r="AF173" s="2"/>
      <c r="AG173" s="2"/>
      <c r="AH173" s="2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spans="1:6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2"/>
      <c r="AE174" s="2"/>
      <c r="AF174" s="2"/>
      <c r="AG174" s="2"/>
      <c r="AH174" s="2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spans="1:6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2"/>
      <c r="AE175" s="2"/>
      <c r="AF175" s="2"/>
      <c r="AG175" s="2"/>
      <c r="AH175" s="2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spans="1:6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2"/>
      <c r="AE176" s="2"/>
      <c r="AF176" s="2"/>
      <c r="AG176" s="2"/>
      <c r="AH176" s="2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spans="1:6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2"/>
      <c r="AE177" s="2"/>
      <c r="AF177" s="2"/>
      <c r="AG177" s="2"/>
      <c r="AH177" s="2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spans="1:6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2"/>
      <c r="AE178" s="2"/>
      <c r="AF178" s="2"/>
      <c r="AG178" s="2"/>
      <c r="AH178" s="2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spans="1:6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2"/>
      <c r="AE179" s="2"/>
      <c r="AF179" s="2"/>
      <c r="AG179" s="2"/>
      <c r="AH179" s="2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spans="1:6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2"/>
      <c r="AE180" s="2"/>
      <c r="AF180" s="2"/>
      <c r="AG180" s="2"/>
      <c r="AH180" s="2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spans="1:6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2"/>
      <c r="AE181" s="2"/>
      <c r="AF181" s="2"/>
      <c r="AG181" s="2"/>
      <c r="AH181" s="2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spans="1:6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2"/>
      <c r="AE182" s="2"/>
      <c r="AF182" s="2"/>
      <c r="AG182" s="2"/>
      <c r="AH182" s="2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spans="1:6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2"/>
      <c r="AE183" s="2"/>
      <c r="AF183" s="2"/>
      <c r="AG183" s="2"/>
      <c r="AH183" s="2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spans="1:6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2"/>
      <c r="AE184" s="2"/>
      <c r="AF184" s="2"/>
      <c r="AG184" s="2"/>
      <c r="AH184" s="2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spans="1:6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2"/>
      <c r="AE185" s="2"/>
      <c r="AF185" s="2"/>
      <c r="AG185" s="2"/>
      <c r="AH185" s="2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spans="1:6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2"/>
      <c r="AE186" s="2"/>
      <c r="AF186" s="2"/>
      <c r="AG186" s="2"/>
      <c r="AH186" s="2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spans="1:6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2"/>
      <c r="AE187" s="2"/>
      <c r="AF187" s="2"/>
      <c r="AG187" s="2"/>
      <c r="AH187" s="2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2"/>
      <c r="AE188" s="2"/>
      <c r="AF188" s="2"/>
      <c r="AG188" s="2"/>
      <c r="AH188" s="2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spans="1:6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2"/>
      <c r="AE189" s="2"/>
      <c r="AF189" s="2"/>
      <c r="AG189" s="2"/>
      <c r="AH189" s="2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spans="1:6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2"/>
      <c r="AE190" s="2"/>
      <c r="AF190" s="2"/>
      <c r="AG190" s="2"/>
      <c r="AH190" s="2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spans="1:6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2"/>
      <c r="AE191" s="2"/>
      <c r="AF191" s="2"/>
      <c r="AG191" s="2"/>
      <c r="AH191" s="2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2"/>
      <c r="AE192" s="2"/>
      <c r="AF192" s="2"/>
      <c r="AG192" s="2"/>
      <c r="AH192" s="2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2"/>
      <c r="AE193" s="2"/>
      <c r="AF193" s="2"/>
      <c r="AG193" s="2"/>
      <c r="AH193" s="2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2"/>
      <c r="AE194" s="2"/>
      <c r="AF194" s="2"/>
      <c r="AG194" s="2"/>
      <c r="AH194" s="2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2"/>
      <c r="AE195" s="2"/>
      <c r="AF195" s="2"/>
      <c r="AG195" s="2"/>
      <c r="AH195" s="2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spans="1:6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2"/>
      <c r="AE196" s="2"/>
      <c r="AF196" s="2"/>
      <c r="AG196" s="2"/>
      <c r="AH196" s="2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spans="1:6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2"/>
      <c r="AE197" s="2"/>
      <c r="AF197" s="2"/>
      <c r="AG197" s="2"/>
      <c r="AH197" s="2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spans="1:6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2"/>
      <c r="AE198" s="2"/>
      <c r="AF198" s="2"/>
      <c r="AG198" s="2"/>
      <c r="AH198" s="2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</sheetData>
  <mergeCells count="89">
    <mergeCell ref="B44:D44"/>
    <mergeCell ref="B45:D46"/>
    <mergeCell ref="B47:D48"/>
    <mergeCell ref="AU44:AX44"/>
    <mergeCell ref="AY44:BB44"/>
    <mergeCell ref="AY40:BB40"/>
    <mergeCell ref="J52:M52"/>
    <mergeCell ref="O52:T52"/>
    <mergeCell ref="AA52:AF52"/>
    <mergeCell ref="AH52:AO52"/>
    <mergeCell ref="V52:Y52"/>
    <mergeCell ref="B49:D49"/>
    <mergeCell ref="B54:G56"/>
    <mergeCell ref="H54:H56"/>
    <mergeCell ref="C52:F52"/>
    <mergeCell ref="B28:D32"/>
    <mergeCell ref="B38:D39"/>
    <mergeCell ref="E49:AT49"/>
    <mergeCell ref="B50:BL50"/>
    <mergeCell ref="AU49:AX49"/>
    <mergeCell ref="AY49:BB49"/>
    <mergeCell ref="E37:AT37"/>
    <mergeCell ref="E33:AT36"/>
    <mergeCell ref="E38:AT39"/>
    <mergeCell ref="E41:AT41"/>
    <mergeCell ref="AU28:AX32"/>
    <mergeCell ref="AY41:BB41"/>
    <mergeCell ref="E45:AT46"/>
    <mergeCell ref="AU45:AX46"/>
    <mergeCell ref="E47:AT48"/>
    <mergeCell ref="AU47:AX48"/>
    <mergeCell ref="AY47:BB48"/>
    <mergeCell ref="BC7:BE7"/>
    <mergeCell ref="L7:BB8"/>
    <mergeCell ref="AU20:AX20"/>
    <mergeCell ref="AH21:AS22"/>
    <mergeCell ref="AT21:AT22"/>
    <mergeCell ref="AU19:AX19"/>
    <mergeCell ref="AG17:BL17"/>
    <mergeCell ref="AU18:AX18"/>
    <mergeCell ref="BH20:BL20"/>
    <mergeCell ref="AU21:BL22"/>
    <mergeCell ref="AY24:BB24"/>
    <mergeCell ref="AY25:BB27"/>
    <mergeCell ref="B9:BL9"/>
    <mergeCell ref="B17:AF17"/>
    <mergeCell ref="B24:D24"/>
    <mergeCell ref="B23:BL23"/>
    <mergeCell ref="B25:D27"/>
    <mergeCell ref="BH19:BL19"/>
    <mergeCell ref="BC24:BL24"/>
    <mergeCell ref="AU25:AX27"/>
    <mergeCell ref="AY45:BB46"/>
    <mergeCell ref="AY42:BB43"/>
    <mergeCell ref="BC5:BL6"/>
    <mergeCell ref="BC2:BL4"/>
    <mergeCell ref="U2:AS2"/>
    <mergeCell ref="U3:AS4"/>
    <mergeCell ref="U5:AS5"/>
    <mergeCell ref="U6:AS6"/>
    <mergeCell ref="BC8:BE8"/>
    <mergeCell ref="AX10:BL10"/>
    <mergeCell ref="AU24:AX24"/>
    <mergeCell ref="E24:AT24"/>
    <mergeCell ref="E28:AT32"/>
    <mergeCell ref="E25:AT27"/>
    <mergeCell ref="AX13:AY13"/>
    <mergeCell ref="AX15:AY15"/>
    <mergeCell ref="E42:AT43"/>
    <mergeCell ref="B42:D43"/>
    <mergeCell ref="AY28:BB32"/>
    <mergeCell ref="AU37:AX37"/>
    <mergeCell ref="AY37:BB37"/>
    <mergeCell ref="B37:D37"/>
    <mergeCell ref="B33:D36"/>
    <mergeCell ref="AU33:AX36"/>
    <mergeCell ref="AY33:BB36"/>
    <mergeCell ref="AU38:AX39"/>
    <mergeCell ref="AY38:BB39"/>
    <mergeCell ref="AU42:AX43"/>
    <mergeCell ref="AU41:AX41"/>
    <mergeCell ref="B40:D40"/>
    <mergeCell ref="B41:D41"/>
    <mergeCell ref="AU40:AX40"/>
    <mergeCell ref="Q11:Y11"/>
    <mergeCell ref="B5:K6"/>
    <mergeCell ref="B2:K4"/>
    <mergeCell ref="B8:K8"/>
    <mergeCell ref="B7:K7"/>
  </mergeCells>
  <pageMargins left="0.19650320837816856" right="0.19650320837816856" top="0.19650320837816856" bottom="0.19650320837816856" header="0" footer="0"/>
  <pageSetup paperSize="9"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00"/>
  <sheetViews>
    <sheetView showGridLines="0" tabSelected="1" topLeftCell="A42" zoomScale="88" workbookViewId="0">
      <selection activeCell="CJ52" sqref="CJ52"/>
    </sheetView>
  </sheetViews>
  <sheetFormatPr defaultColWidth="14.453125" defaultRowHeight="20" customHeight="1"/>
  <cols>
    <col min="1" max="75" width="1.7265625" customWidth="1"/>
    <col min="76" max="87" width="14.453125" hidden="1"/>
  </cols>
  <sheetData>
    <row r="1" spans="1:8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2"/>
      <c r="AN1" s="2"/>
      <c r="AO1" s="2"/>
      <c r="AP1" s="2"/>
      <c r="AQ1" s="2"/>
      <c r="AR1" s="2"/>
      <c r="AS1" s="2"/>
      <c r="BZ1" s="48"/>
      <c r="CA1" s="48"/>
      <c r="CB1" s="48"/>
      <c r="CC1" s="48"/>
      <c r="CD1" s="48"/>
      <c r="CE1" s="48"/>
      <c r="CF1" s="48"/>
      <c r="CG1" s="48"/>
      <c r="CH1" s="48"/>
      <c r="CI1" s="48"/>
    </row>
    <row r="2" spans="1:87" ht="20" customHeight="1">
      <c r="A2" s="1"/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6"/>
      <c r="L2" s="3"/>
      <c r="M2" s="3"/>
      <c r="N2" s="3"/>
      <c r="O2" s="3"/>
      <c r="P2" s="3"/>
      <c r="Q2" s="3"/>
      <c r="R2" s="3"/>
      <c r="S2" s="3"/>
      <c r="T2" s="105" t="s">
        <v>1</v>
      </c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7"/>
      <c r="BB2" s="4"/>
      <c r="BC2" s="4"/>
      <c r="BD2" s="4"/>
      <c r="BE2" s="4"/>
      <c r="BF2" s="4"/>
      <c r="BG2" s="4"/>
      <c r="BH2" s="4"/>
      <c r="BI2" s="4"/>
      <c r="BJ2" s="84" t="s">
        <v>2</v>
      </c>
      <c r="BK2" s="85"/>
      <c r="BL2" s="85"/>
      <c r="BM2" s="85"/>
      <c r="BN2" s="85"/>
      <c r="BO2" s="85"/>
      <c r="BP2" s="85"/>
      <c r="BQ2" s="85"/>
      <c r="BR2" s="85"/>
      <c r="BS2" s="86"/>
      <c r="BZ2" s="48"/>
      <c r="CA2" s="48"/>
      <c r="CB2" s="48"/>
      <c r="CC2" s="48"/>
      <c r="CD2" s="48"/>
      <c r="CE2" s="48"/>
      <c r="CF2" s="48"/>
      <c r="CG2" s="48"/>
      <c r="CH2" s="48"/>
      <c r="CI2" s="48"/>
    </row>
    <row r="3" spans="1:87" ht="20" customHeight="1">
      <c r="A3" s="1"/>
      <c r="B3" s="90"/>
      <c r="C3" s="83"/>
      <c r="D3" s="83"/>
      <c r="E3" s="83"/>
      <c r="F3" s="83"/>
      <c r="G3" s="83"/>
      <c r="H3" s="83"/>
      <c r="I3" s="83"/>
      <c r="J3" s="83"/>
      <c r="K3" s="91"/>
      <c r="L3" s="5"/>
      <c r="M3" s="5"/>
      <c r="N3" s="5"/>
      <c r="O3" s="5"/>
      <c r="P3" s="5"/>
      <c r="Q3" s="5"/>
      <c r="R3" s="5"/>
      <c r="S3" s="5"/>
      <c r="T3" s="221" t="s">
        <v>3</v>
      </c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10"/>
      <c r="BB3" s="6"/>
      <c r="BC3" s="6"/>
      <c r="BD3" s="6"/>
      <c r="BE3" s="6"/>
      <c r="BF3" s="6"/>
      <c r="BG3" s="6"/>
      <c r="BH3" s="6"/>
      <c r="BI3" s="6"/>
      <c r="BJ3" s="90"/>
      <c r="BK3" s="83"/>
      <c r="BL3" s="83"/>
      <c r="BM3" s="83"/>
      <c r="BN3" s="83"/>
      <c r="BO3" s="83"/>
      <c r="BP3" s="83"/>
      <c r="BQ3" s="83"/>
      <c r="BR3" s="83"/>
      <c r="BS3" s="91"/>
      <c r="BZ3" s="48"/>
      <c r="CA3" s="48"/>
      <c r="CB3" s="48"/>
      <c r="CC3" s="48"/>
      <c r="CD3" s="48"/>
      <c r="CE3" s="48"/>
      <c r="CF3" s="48"/>
      <c r="CG3" s="48"/>
      <c r="CH3" s="48"/>
      <c r="CI3" s="48"/>
    </row>
    <row r="4" spans="1:87" ht="20" customHeight="1">
      <c r="A4" s="1"/>
      <c r="B4" s="87"/>
      <c r="C4" s="88"/>
      <c r="D4" s="88"/>
      <c r="E4" s="88"/>
      <c r="F4" s="88"/>
      <c r="G4" s="88"/>
      <c r="H4" s="88"/>
      <c r="I4" s="88"/>
      <c r="J4" s="88"/>
      <c r="K4" s="89"/>
      <c r="L4" s="5"/>
      <c r="M4" s="5"/>
      <c r="N4" s="5"/>
      <c r="O4" s="5"/>
      <c r="P4" s="5"/>
      <c r="Q4" s="5"/>
      <c r="R4" s="5"/>
      <c r="S4" s="5"/>
      <c r="T4" s="111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3"/>
      <c r="BB4" s="6"/>
      <c r="BC4" s="6"/>
      <c r="BD4" s="6"/>
      <c r="BE4" s="6"/>
      <c r="BF4" s="6"/>
      <c r="BG4" s="6"/>
      <c r="BH4" s="6"/>
      <c r="BI4" s="6"/>
      <c r="BJ4" s="87"/>
      <c r="BK4" s="88"/>
      <c r="BL4" s="88"/>
      <c r="BM4" s="88"/>
      <c r="BN4" s="88"/>
      <c r="BO4" s="88"/>
      <c r="BP4" s="88"/>
      <c r="BQ4" s="88"/>
      <c r="BR4" s="88"/>
      <c r="BS4" s="89"/>
      <c r="BZ4" s="48"/>
      <c r="CA4" s="48"/>
      <c r="CB4" s="48"/>
      <c r="CC4" s="48"/>
      <c r="CD4" s="48"/>
      <c r="CE4" s="48"/>
      <c r="CF4" s="48"/>
      <c r="CG4" s="48"/>
      <c r="CH4" s="48"/>
      <c r="CI4" s="48"/>
    </row>
    <row r="5" spans="1:87" ht="20" customHeight="1">
      <c r="A5" s="1"/>
      <c r="B5" s="84" t="s">
        <v>4</v>
      </c>
      <c r="C5" s="85"/>
      <c r="D5" s="85"/>
      <c r="E5" s="85"/>
      <c r="F5" s="85"/>
      <c r="G5" s="85"/>
      <c r="H5" s="85"/>
      <c r="I5" s="85"/>
      <c r="J5" s="85"/>
      <c r="K5" s="86"/>
      <c r="L5" s="5"/>
      <c r="M5" s="5"/>
      <c r="N5" s="5"/>
      <c r="O5" s="5"/>
      <c r="P5" s="5"/>
      <c r="Q5" s="5"/>
      <c r="R5" s="5"/>
      <c r="S5" s="5"/>
      <c r="T5" s="114" t="s">
        <v>5</v>
      </c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115"/>
      <c r="BB5" s="6"/>
      <c r="BC5" s="6"/>
      <c r="BD5" s="6"/>
      <c r="BE5" s="6"/>
      <c r="BF5" s="6"/>
      <c r="BG5" s="6"/>
      <c r="BH5" s="6"/>
      <c r="BI5" s="6"/>
      <c r="BJ5" s="84" t="s">
        <v>74</v>
      </c>
      <c r="BK5" s="85"/>
      <c r="BL5" s="85"/>
      <c r="BM5" s="85"/>
      <c r="BN5" s="85"/>
      <c r="BO5" s="85"/>
      <c r="BP5" s="85"/>
      <c r="BQ5" s="85"/>
      <c r="BR5" s="85"/>
      <c r="BS5" s="86"/>
      <c r="BZ5" s="48"/>
      <c r="CA5" s="48"/>
      <c r="CB5" s="48"/>
      <c r="CC5" s="48"/>
      <c r="CD5" s="48"/>
      <c r="CE5" s="48"/>
      <c r="CF5" s="48"/>
      <c r="CG5" s="48"/>
      <c r="CH5" s="48"/>
      <c r="CI5" s="48"/>
    </row>
    <row r="6" spans="1:87" ht="20" customHeight="1">
      <c r="A6" s="1"/>
      <c r="B6" s="146"/>
      <c r="C6" s="112"/>
      <c r="D6" s="112"/>
      <c r="E6" s="112"/>
      <c r="F6" s="112"/>
      <c r="G6" s="112"/>
      <c r="H6" s="112"/>
      <c r="I6" s="112"/>
      <c r="J6" s="112"/>
      <c r="K6" s="147"/>
      <c r="L6" s="5"/>
      <c r="M6" s="5"/>
      <c r="N6" s="5"/>
      <c r="O6" s="5"/>
      <c r="P6" s="5"/>
      <c r="Q6" s="5"/>
      <c r="R6" s="5"/>
      <c r="S6" s="5"/>
      <c r="T6" s="157" t="s">
        <v>7</v>
      </c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8"/>
      <c r="BB6" s="6"/>
      <c r="BC6" s="6"/>
      <c r="BD6" s="6"/>
      <c r="BE6" s="6"/>
      <c r="BF6" s="6"/>
      <c r="BG6" s="6"/>
      <c r="BH6" s="6"/>
      <c r="BI6" s="6"/>
      <c r="BJ6" s="87"/>
      <c r="BK6" s="88"/>
      <c r="BL6" s="88"/>
      <c r="BM6" s="88"/>
      <c r="BN6" s="88"/>
      <c r="BO6" s="88"/>
      <c r="BP6" s="88"/>
      <c r="BQ6" s="88"/>
      <c r="BR6" s="88"/>
      <c r="BS6" s="89"/>
      <c r="BZ6" s="48"/>
      <c r="CA6" s="48"/>
      <c r="CB6" s="48"/>
      <c r="CC6" s="48"/>
      <c r="CD6" s="48"/>
      <c r="CE6" s="48"/>
      <c r="CF6" s="48"/>
      <c r="CG6" s="48"/>
      <c r="CH6" s="48"/>
      <c r="CI6" s="48"/>
    </row>
    <row r="7" spans="1:87" ht="20" customHeight="1">
      <c r="A7" s="1"/>
      <c r="B7" s="149" t="s">
        <v>8</v>
      </c>
      <c r="C7" s="106"/>
      <c r="D7" s="106"/>
      <c r="E7" s="106"/>
      <c r="F7" s="106"/>
      <c r="G7" s="106"/>
      <c r="H7" s="106"/>
      <c r="I7" s="106"/>
      <c r="J7" s="106"/>
      <c r="K7" s="150"/>
      <c r="L7" s="168" t="s">
        <v>9</v>
      </c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6"/>
      <c r="BJ7" s="176" t="s">
        <v>10</v>
      </c>
      <c r="BK7" s="98"/>
      <c r="BL7" s="115"/>
      <c r="BM7" s="49" t="s">
        <v>11</v>
      </c>
      <c r="BN7" s="49"/>
      <c r="BO7" s="49"/>
      <c r="BP7" s="49"/>
      <c r="BQ7" s="49"/>
      <c r="BR7" s="49"/>
      <c r="BS7" s="50"/>
      <c r="BZ7" s="48"/>
      <c r="CA7" s="48"/>
      <c r="CB7" s="48"/>
      <c r="CC7" s="48"/>
      <c r="CD7" s="48"/>
      <c r="CE7" s="48"/>
      <c r="CF7" s="48"/>
      <c r="CG7" s="48"/>
      <c r="CH7" s="48"/>
      <c r="CI7" s="48"/>
    </row>
    <row r="8" spans="1:87" ht="20" customHeight="1">
      <c r="A8" s="1"/>
      <c r="B8" s="148"/>
      <c r="C8" s="117"/>
      <c r="D8" s="117"/>
      <c r="E8" s="117"/>
      <c r="F8" s="117"/>
      <c r="G8" s="117"/>
      <c r="H8" s="117"/>
      <c r="I8" s="117"/>
      <c r="J8" s="117"/>
      <c r="K8" s="138"/>
      <c r="L8" s="87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9"/>
      <c r="BJ8" s="176" t="s">
        <v>39</v>
      </c>
      <c r="BK8" s="98"/>
      <c r="BL8" s="115"/>
      <c r="BM8" s="51" t="s">
        <v>13</v>
      </c>
      <c r="BN8" s="51"/>
      <c r="BO8" s="51"/>
      <c r="BP8" s="51"/>
      <c r="BQ8" s="51"/>
      <c r="BR8" s="51"/>
      <c r="BS8" s="52"/>
      <c r="BZ8" s="48"/>
      <c r="CA8" s="48"/>
      <c r="CB8" s="48"/>
      <c r="CC8" s="48"/>
      <c r="CD8" s="48"/>
      <c r="CE8" s="48"/>
      <c r="CF8" s="48"/>
      <c r="CG8" s="48"/>
      <c r="CH8" s="48"/>
      <c r="CI8" s="48"/>
    </row>
    <row r="9" spans="1:87" ht="20" customHeight="1">
      <c r="A9" s="1"/>
      <c r="B9" s="123" t="s">
        <v>14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3"/>
      <c r="BZ9" s="48"/>
      <c r="CA9" s="48"/>
      <c r="CB9" s="48"/>
      <c r="CC9" s="48"/>
      <c r="CD9" s="48"/>
      <c r="CE9" s="48"/>
      <c r="CF9" s="48"/>
      <c r="CG9" s="48"/>
      <c r="CH9" s="48"/>
      <c r="CI9" s="48"/>
    </row>
    <row r="10" spans="1:87" ht="20" customHeight="1">
      <c r="A10" s="1"/>
      <c r="B10" s="12"/>
      <c r="C10" s="13" t="s">
        <v>75</v>
      </c>
      <c r="D10" s="13"/>
      <c r="E10" s="13"/>
      <c r="F10" s="13"/>
      <c r="G10" s="13"/>
      <c r="H10" s="13"/>
      <c r="I10" s="13"/>
      <c r="J10" s="13"/>
      <c r="K10" s="13"/>
      <c r="L10" s="13"/>
      <c r="M10" s="14" t="s">
        <v>16</v>
      </c>
      <c r="N10" s="151">
        <f>Data!$Q$11</f>
        <v>79123019</v>
      </c>
      <c r="O10" s="85"/>
      <c r="P10" s="85"/>
      <c r="Q10" s="85"/>
      <c r="R10" s="85"/>
      <c r="S10" s="85"/>
      <c r="T10" s="85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6"/>
      <c r="AM10" s="16"/>
      <c r="AN10" s="16"/>
      <c r="AO10" s="16"/>
      <c r="AP10" s="16"/>
      <c r="AQ10" s="16"/>
      <c r="AR10" s="16"/>
      <c r="AS10" s="16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20" t="s">
        <v>18</v>
      </c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91"/>
      <c r="BZ10" s="48"/>
      <c r="CA10" s="48"/>
      <c r="CB10" s="48"/>
      <c r="CC10" s="48"/>
      <c r="CD10" s="48"/>
      <c r="CE10" s="48"/>
      <c r="CF10" s="48"/>
      <c r="CG10" s="48"/>
      <c r="CH10" s="48"/>
      <c r="CI10" s="48"/>
    </row>
    <row r="11" spans="1:87" ht="20" customHeight="1">
      <c r="A11" s="1"/>
      <c r="B11" s="12"/>
      <c r="C11" s="13" t="s">
        <v>76</v>
      </c>
      <c r="D11" s="13"/>
      <c r="E11" s="13"/>
      <c r="F11" s="13"/>
      <c r="G11" s="13"/>
      <c r="H11" s="13"/>
      <c r="I11" s="13"/>
      <c r="J11" s="13"/>
      <c r="K11" s="13"/>
      <c r="L11" s="13"/>
      <c r="M11" s="14" t="s">
        <v>16</v>
      </c>
      <c r="N11" s="13" t="str">
        <f>Data!$Q$18</f>
        <v>TATSUNO</v>
      </c>
      <c r="O11" s="1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6"/>
      <c r="AM11" s="16"/>
      <c r="AN11" s="16"/>
      <c r="AO11" s="16"/>
      <c r="AP11" s="16"/>
      <c r="AQ11" s="16"/>
      <c r="AR11" s="16"/>
      <c r="AS11" s="16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37"/>
      <c r="BZ11" s="48"/>
      <c r="CA11" s="48"/>
      <c r="CB11" s="48"/>
      <c r="CC11" s="48"/>
      <c r="CD11" s="48"/>
      <c r="CE11" s="48"/>
      <c r="CF11" s="48"/>
      <c r="CG11" s="48"/>
      <c r="CH11" s="48"/>
      <c r="CI11" s="48"/>
    </row>
    <row r="12" spans="1:87" ht="20" customHeight="1">
      <c r="A12" s="1"/>
      <c r="B12" s="12"/>
      <c r="C12" s="13" t="s">
        <v>77</v>
      </c>
      <c r="D12" s="13"/>
      <c r="E12" s="13"/>
      <c r="F12" s="13"/>
      <c r="G12" s="13"/>
      <c r="H12" s="13"/>
      <c r="I12" s="13"/>
      <c r="J12" s="13"/>
      <c r="K12" s="13"/>
      <c r="L12" s="13"/>
      <c r="M12" s="14" t="s">
        <v>16</v>
      </c>
      <c r="N12" s="13" t="str">
        <f>Data!$Q$14</f>
        <v>P1-3</v>
      </c>
      <c r="O12" s="1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6"/>
      <c r="AM12" s="16"/>
      <c r="AN12" s="16"/>
      <c r="AO12" s="16"/>
      <c r="AP12" s="16"/>
      <c r="AQ12" s="16"/>
      <c r="AR12" s="16"/>
      <c r="AS12" s="16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"/>
      <c r="BF12" s="1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37"/>
      <c r="BZ12" s="48"/>
      <c r="CA12" s="48"/>
      <c r="CB12" s="48"/>
      <c r="CC12" s="48"/>
      <c r="CD12" s="48"/>
      <c r="CE12" s="48"/>
      <c r="CF12" s="48"/>
      <c r="CG12" s="48"/>
      <c r="CH12" s="48"/>
      <c r="CI12" s="48"/>
    </row>
    <row r="13" spans="1:87" ht="20" customHeight="1">
      <c r="A13" s="1"/>
      <c r="B13" s="12"/>
      <c r="C13" s="13" t="s">
        <v>78</v>
      </c>
      <c r="D13" s="13"/>
      <c r="E13" s="13"/>
      <c r="F13" s="13"/>
      <c r="G13" s="13"/>
      <c r="H13" s="13"/>
      <c r="I13" s="13"/>
      <c r="J13" s="13"/>
      <c r="K13" s="13"/>
      <c r="L13" s="13"/>
      <c r="M13" s="14" t="s">
        <v>16</v>
      </c>
      <c r="N13" s="167" t="s">
        <v>79</v>
      </c>
      <c r="O13" s="83"/>
      <c r="P13" s="83"/>
      <c r="Q13" s="83"/>
      <c r="R13" s="83"/>
      <c r="S13" s="83"/>
      <c r="T13" s="83"/>
      <c r="U13" s="83"/>
      <c r="V13" s="8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6"/>
      <c r="AM13" s="16"/>
      <c r="AN13" s="16"/>
      <c r="AO13" s="16"/>
      <c r="AP13" s="16"/>
      <c r="AQ13" s="16"/>
      <c r="AR13" s="16"/>
      <c r="AS13" s="16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20" t="s">
        <v>24</v>
      </c>
      <c r="BF13" s="8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37"/>
      <c r="BZ13" s="48"/>
      <c r="CA13" s="48"/>
      <c r="CB13" s="48"/>
      <c r="CC13" s="48"/>
      <c r="CD13" s="48"/>
      <c r="CE13" s="48"/>
      <c r="CF13" s="48"/>
      <c r="CG13" s="48"/>
      <c r="CH13" s="48"/>
      <c r="CI13" s="48"/>
    </row>
    <row r="14" spans="1:87" ht="20" customHeight="1">
      <c r="A14" s="1"/>
      <c r="B14" s="12"/>
      <c r="C14" s="13" t="s">
        <v>80</v>
      </c>
      <c r="D14" s="13"/>
      <c r="E14" s="13"/>
      <c r="F14" s="13"/>
      <c r="G14" s="13"/>
      <c r="H14" s="13"/>
      <c r="I14" s="13"/>
      <c r="J14" s="13"/>
      <c r="K14" s="13"/>
      <c r="L14" s="13"/>
      <c r="M14" s="14" t="s">
        <v>16</v>
      </c>
      <c r="N14" s="1" t="s">
        <v>81</v>
      </c>
      <c r="O14" s="1"/>
      <c r="P14" s="166">
        <v>10000</v>
      </c>
      <c r="Q14" s="98"/>
      <c r="R14" s="98"/>
      <c r="S14" s="98"/>
      <c r="T14" s="98"/>
      <c r="U14" s="115"/>
      <c r="V14" s="1" t="s">
        <v>82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6"/>
      <c r="AM14" s="16"/>
      <c r="AN14" s="16"/>
      <c r="AO14" s="16"/>
      <c r="AP14" s="16"/>
      <c r="AQ14" s="16"/>
      <c r="AR14" s="16"/>
      <c r="AS14" s="16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37"/>
      <c r="BW14" s="53"/>
      <c r="BX14" s="53"/>
      <c r="BY14" s="53"/>
      <c r="BZ14" s="48"/>
      <c r="CA14" s="48"/>
      <c r="CB14" s="48"/>
      <c r="CC14" s="48"/>
      <c r="CD14" s="48"/>
      <c r="CE14" s="48"/>
      <c r="CF14" s="48"/>
      <c r="CG14" s="48"/>
      <c r="CH14" s="48"/>
      <c r="CI14" s="48"/>
    </row>
    <row r="15" spans="1:87" ht="20" customHeight="1">
      <c r="A15" s="1"/>
      <c r="B15" s="12"/>
      <c r="C15" s="13" t="s">
        <v>83</v>
      </c>
      <c r="D15" s="13"/>
      <c r="E15" s="13"/>
      <c r="F15" s="13"/>
      <c r="G15" s="13"/>
      <c r="H15" s="13"/>
      <c r="I15" s="13"/>
      <c r="J15" s="13"/>
      <c r="K15" s="13"/>
      <c r="L15" s="13"/>
      <c r="M15" s="14" t="s">
        <v>16</v>
      </c>
      <c r="N15" s="13" t="str">
        <f>Data!$Q$15</f>
        <v>24 Mei 2026</v>
      </c>
      <c r="O15" s="1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6"/>
      <c r="AM15" s="16"/>
      <c r="AN15" s="16"/>
      <c r="AO15" s="16"/>
      <c r="AP15" s="16"/>
      <c r="AQ15" s="16"/>
      <c r="AR15" s="16"/>
      <c r="AS15" s="16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20" t="s">
        <v>29</v>
      </c>
      <c r="BF15" s="8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37"/>
      <c r="BW15" s="53"/>
      <c r="BX15" s="53"/>
      <c r="BY15" s="53"/>
      <c r="BZ15" s="48"/>
      <c r="CA15" s="48"/>
      <c r="CB15" s="48"/>
      <c r="CC15" s="48"/>
      <c r="CD15" s="48"/>
      <c r="CE15" s="48"/>
      <c r="CF15" s="48"/>
      <c r="CG15" s="48"/>
      <c r="CH15" s="48"/>
      <c r="CI15" s="48"/>
    </row>
    <row r="16" spans="1:87" ht="20" customHeight="1">
      <c r="A16" s="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6"/>
      <c r="AM16" s="16"/>
      <c r="AN16" s="16"/>
      <c r="AO16" s="16"/>
      <c r="AP16" s="16"/>
      <c r="AQ16" s="16"/>
      <c r="AR16" s="16"/>
      <c r="AS16" s="16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37"/>
      <c r="BW16" s="53"/>
      <c r="BX16" s="53"/>
      <c r="BY16" s="53"/>
      <c r="BZ16" s="48"/>
      <c r="CA16" s="48"/>
      <c r="CB16" s="48"/>
      <c r="CC16" s="48"/>
      <c r="CD16" s="48"/>
      <c r="CE16" s="48"/>
      <c r="CF16" s="48"/>
      <c r="CG16" s="48"/>
      <c r="CH16" s="48"/>
      <c r="CI16" s="48"/>
    </row>
    <row r="17" spans="1:87" ht="20" customHeight="1">
      <c r="A17" s="1"/>
      <c r="B17" s="123" t="s">
        <v>84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3"/>
      <c r="BW17" s="53"/>
      <c r="BX17" s="53"/>
      <c r="BY17" s="53"/>
      <c r="BZ17" s="48"/>
      <c r="CA17" s="48"/>
      <c r="CB17" s="48"/>
      <c r="CC17" s="48"/>
      <c r="CD17" s="48"/>
      <c r="CE17" s="48"/>
      <c r="CF17" s="48"/>
      <c r="CG17" s="48"/>
      <c r="CH17" s="48"/>
      <c r="CI17" s="48"/>
    </row>
    <row r="18" spans="1:87" ht="20" customHeight="1">
      <c r="A18" s="1"/>
      <c r="B18" s="12"/>
      <c r="C18" s="1" t="s">
        <v>32</v>
      </c>
      <c r="D18" s="1"/>
      <c r="E18" s="1"/>
      <c r="F18" s="1"/>
      <c r="G18" s="1"/>
      <c r="H18" s="1"/>
      <c r="I18" s="1"/>
      <c r="J18" s="1"/>
      <c r="K18" s="1"/>
      <c r="L18" s="1"/>
      <c r="M18" s="14" t="s">
        <v>16</v>
      </c>
      <c r="N18" s="1" t="s">
        <v>85</v>
      </c>
      <c r="O18" s="1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2"/>
      <c r="AM18" s="1"/>
      <c r="AN18" s="2"/>
      <c r="AO18" s="2"/>
      <c r="AP18" s="1" t="s">
        <v>86</v>
      </c>
      <c r="AQ18" s="2"/>
      <c r="AR18" s="2"/>
      <c r="AS18" s="2"/>
      <c r="AT18" s="1"/>
      <c r="AU18" s="1"/>
      <c r="AV18" s="1"/>
      <c r="AW18" s="1"/>
      <c r="AX18" s="1"/>
      <c r="AY18" s="1"/>
      <c r="AZ18" s="1"/>
      <c r="BA18" s="54"/>
      <c r="BB18" s="26"/>
      <c r="BC18" s="26"/>
      <c r="BD18" s="26"/>
      <c r="BE18" s="54" t="s">
        <v>16</v>
      </c>
      <c r="BF18" s="174">
        <v>20</v>
      </c>
      <c r="BG18" s="85"/>
      <c r="BH18" s="85"/>
      <c r="BI18" s="85"/>
      <c r="BJ18" s="85"/>
      <c r="BK18" s="85"/>
      <c r="BL18" s="85"/>
      <c r="BM18" s="85"/>
      <c r="BN18" s="85"/>
      <c r="BO18" s="1"/>
      <c r="BP18" s="1" t="s">
        <v>87</v>
      </c>
      <c r="BQ18" s="1"/>
      <c r="BR18" s="1"/>
      <c r="BS18" s="37"/>
      <c r="BW18" s="53"/>
      <c r="BX18" s="53"/>
      <c r="BY18" s="53"/>
      <c r="BZ18" s="48"/>
      <c r="CA18" s="48"/>
      <c r="CB18" s="48"/>
      <c r="CC18" s="48"/>
      <c r="CD18" s="48"/>
      <c r="CE18" s="48"/>
      <c r="CF18" s="48"/>
      <c r="CG18" s="48" t="s">
        <v>88</v>
      </c>
      <c r="CH18" s="48"/>
      <c r="CI18" s="48"/>
    </row>
    <row r="19" spans="1:87" ht="20" customHeight="1">
      <c r="A19" s="1"/>
      <c r="B19" s="12"/>
      <c r="C19" s="1" t="s">
        <v>36</v>
      </c>
      <c r="D19" s="1"/>
      <c r="E19" s="1"/>
      <c r="F19" s="1"/>
      <c r="G19" s="1"/>
      <c r="H19" s="1"/>
      <c r="I19" s="1"/>
      <c r="J19" s="1"/>
      <c r="K19" s="1"/>
      <c r="L19" s="1"/>
      <c r="M19" s="14" t="s">
        <v>16</v>
      </c>
      <c r="N19" s="1" t="s">
        <v>89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2"/>
      <c r="AM19" s="1"/>
      <c r="AN19" s="2"/>
      <c r="AO19" s="2"/>
      <c r="AP19" s="1" t="s">
        <v>90</v>
      </c>
      <c r="AQ19" s="2"/>
      <c r="AR19" s="2"/>
      <c r="AS19" s="2"/>
      <c r="AT19" s="1"/>
      <c r="AU19" s="1"/>
      <c r="AV19" s="1"/>
      <c r="AW19" s="1"/>
      <c r="AX19" s="1"/>
      <c r="AY19" s="1"/>
      <c r="AZ19" s="1"/>
      <c r="BA19" s="54"/>
      <c r="BB19" s="1"/>
      <c r="BC19" s="1"/>
      <c r="BD19" s="1"/>
      <c r="BE19" s="54" t="s">
        <v>16</v>
      </c>
      <c r="BF19" s="175">
        <v>19.996500000000001</v>
      </c>
      <c r="BG19" s="83"/>
      <c r="BH19" s="83"/>
      <c r="BI19" s="83"/>
      <c r="BJ19" s="83"/>
      <c r="BK19" s="83"/>
      <c r="BL19" s="83"/>
      <c r="BM19" s="83"/>
      <c r="BN19" s="83"/>
      <c r="BO19" s="1"/>
      <c r="BP19" s="1" t="s">
        <v>87</v>
      </c>
      <c r="BQ19" s="1"/>
      <c r="BR19" s="1"/>
      <c r="BS19" s="37"/>
      <c r="BW19" s="53"/>
      <c r="BX19" s="53"/>
      <c r="BY19" s="53"/>
      <c r="BZ19" s="48"/>
      <c r="CA19" s="48"/>
      <c r="CB19" s="48"/>
      <c r="CC19" s="48"/>
      <c r="CD19" s="48"/>
      <c r="CE19" s="48"/>
      <c r="CF19" s="48"/>
      <c r="CG19" s="48" t="s">
        <v>91</v>
      </c>
      <c r="CH19" s="48"/>
      <c r="CI19" s="48"/>
    </row>
    <row r="20" spans="1:87" ht="20" customHeight="1">
      <c r="A20" s="1"/>
      <c r="B20" s="12"/>
      <c r="C20" s="1" t="s">
        <v>40</v>
      </c>
      <c r="D20" s="1"/>
      <c r="E20" s="1"/>
      <c r="F20" s="1"/>
      <c r="G20" s="1"/>
      <c r="H20" s="1"/>
      <c r="I20" s="1"/>
      <c r="J20" s="1"/>
      <c r="K20" s="1"/>
      <c r="L20" s="1"/>
      <c r="M20" s="14" t="s">
        <v>16</v>
      </c>
      <c r="N20" s="1" t="s">
        <v>92</v>
      </c>
      <c r="O20" s="1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"/>
      <c r="AM20" s="1"/>
      <c r="AN20" s="2"/>
      <c r="AO20" s="2"/>
      <c r="AP20" s="1" t="s">
        <v>93</v>
      </c>
      <c r="AQ20" s="2"/>
      <c r="AR20" s="2"/>
      <c r="AS20" s="2"/>
      <c r="AT20" s="1"/>
      <c r="AU20" s="1"/>
      <c r="AV20" s="1"/>
      <c r="AW20" s="1"/>
      <c r="AX20" s="1"/>
      <c r="AY20" s="1"/>
      <c r="AZ20" s="1"/>
      <c r="BA20" s="54"/>
      <c r="BB20" s="1"/>
      <c r="BC20" s="1"/>
      <c r="BD20" s="1"/>
      <c r="BE20" s="54" t="s">
        <v>16</v>
      </c>
      <c r="BF20" s="175">
        <v>10.3</v>
      </c>
      <c r="BG20" s="83"/>
      <c r="BH20" s="83"/>
      <c r="BI20" s="83"/>
      <c r="BJ20" s="83"/>
      <c r="BK20" s="83"/>
      <c r="BL20" s="83"/>
      <c r="BM20" s="83"/>
      <c r="BN20" s="83"/>
      <c r="BO20" s="1"/>
      <c r="BP20" s="1" t="s">
        <v>94</v>
      </c>
      <c r="BQ20" s="1"/>
      <c r="BR20" s="1"/>
      <c r="BS20" s="37"/>
      <c r="BW20" s="53"/>
      <c r="BX20" s="53"/>
      <c r="BY20" s="53"/>
      <c r="BZ20" s="48"/>
      <c r="CA20" s="48"/>
      <c r="CB20" s="48"/>
      <c r="CC20" s="48"/>
      <c r="CD20" s="48"/>
      <c r="CE20" s="48"/>
      <c r="CF20" s="48"/>
      <c r="CG20" s="48" t="s">
        <v>95</v>
      </c>
      <c r="CH20" s="48"/>
      <c r="CI20" s="48"/>
    </row>
    <row r="21" spans="1:87" ht="20" customHeight="1">
      <c r="A21" s="1"/>
      <c r="B21" s="20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2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43"/>
      <c r="AM21" s="28"/>
      <c r="AN21" s="43"/>
      <c r="AO21" s="43"/>
      <c r="AP21" s="28" t="s">
        <v>96</v>
      </c>
      <c r="AQ21" s="43"/>
      <c r="AR21" s="43"/>
      <c r="AS21" s="43"/>
      <c r="AT21" s="28"/>
      <c r="AU21" s="28"/>
      <c r="AV21" s="28"/>
      <c r="AW21" s="28"/>
      <c r="AX21" s="28"/>
      <c r="AY21" s="28"/>
      <c r="AZ21" s="28"/>
      <c r="BA21" s="55"/>
      <c r="BB21" s="28"/>
      <c r="BC21" s="28"/>
      <c r="BD21" s="28"/>
      <c r="BE21" s="55" t="s">
        <v>16</v>
      </c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45"/>
      <c r="BW21" s="53"/>
      <c r="BX21" s="53"/>
      <c r="BY21" s="53"/>
      <c r="BZ21" s="48"/>
      <c r="CA21" s="48"/>
      <c r="CB21" s="48"/>
      <c r="CC21" s="48"/>
      <c r="CD21" s="48"/>
      <c r="CE21" s="48"/>
      <c r="CF21" s="48"/>
      <c r="CG21" s="48" t="s">
        <v>97</v>
      </c>
      <c r="CH21" s="48"/>
      <c r="CI21" s="48"/>
    </row>
    <row r="22" spans="1:87" ht="20" customHeight="1">
      <c r="A22" s="1"/>
      <c r="B22" s="123" t="s">
        <v>98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3"/>
      <c r="BW22" s="53"/>
      <c r="BX22" s="53"/>
      <c r="BY22" s="53"/>
      <c r="BZ22" s="48"/>
      <c r="CA22" s="48"/>
      <c r="CB22" s="48"/>
      <c r="CC22" s="48"/>
      <c r="CD22" s="48"/>
      <c r="CE22" s="48"/>
      <c r="CF22" s="48"/>
      <c r="CG22" s="48" t="s">
        <v>99</v>
      </c>
      <c r="CH22" s="48"/>
      <c r="CI22" s="48"/>
    </row>
    <row r="23" spans="1:87" ht="20" customHeight="1">
      <c r="A23" s="1"/>
      <c r="B23" s="56" t="s">
        <v>100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8" t="s">
        <v>101</v>
      </c>
      <c r="Y23" s="57"/>
      <c r="Z23" s="57"/>
      <c r="AA23" s="57"/>
      <c r="AB23" s="57"/>
      <c r="AC23" s="57"/>
      <c r="AD23" s="57"/>
      <c r="AE23" s="57"/>
      <c r="AF23" s="171">
        <v>100</v>
      </c>
      <c r="AG23" s="102"/>
      <c r="AH23" s="102"/>
      <c r="AI23" s="102"/>
      <c r="AJ23" s="102"/>
      <c r="AK23" s="153"/>
      <c r="AL23" s="57" t="s">
        <v>87</v>
      </c>
      <c r="AM23" s="57"/>
      <c r="AN23" s="58" t="s">
        <v>102</v>
      </c>
      <c r="AO23" s="57"/>
      <c r="AP23" s="57"/>
      <c r="AQ23" s="57"/>
      <c r="AR23" s="57"/>
      <c r="AS23" s="57"/>
      <c r="AT23" s="57"/>
      <c r="AU23" s="57"/>
      <c r="AV23" s="152">
        <v>200</v>
      </c>
      <c r="AW23" s="102"/>
      <c r="AX23" s="102"/>
      <c r="AY23" s="102"/>
      <c r="AZ23" s="102"/>
      <c r="BA23" s="153"/>
      <c r="BB23" s="57" t="s">
        <v>87</v>
      </c>
      <c r="BC23" s="59"/>
      <c r="BD23" s="57" t="s">
        <v>103</v>
      </c>
      <c r="BE23" s="57"/>
      <c r="BF23" s="57"/>
      <c r="BG23" s="57"/>
      <c r="BH23" s="57"/>
      <c r="BI23" s="57"/>
      <c r="BJ23" s="57"/>
      <c r="BK23" s="57"/>
      <c r="BL23" s="57"/>
      <c r="BM23" s="57"/>
      <c r="BN23" s="172">
        <f>IF(OR(ISBLANK(AF23),ISBLANK(AV23)),"",AV23-AF23)</f>
        <v>100</v>
      </c>
      <c r="BO23" s="102"/>
      <c r="BP23" s="102"/>
      <c r="BQ23" s="102"/>
      <c r="BR23" s="57" t="s">
        <v>87</v>
      </c>
      <c r="BS23" s="59"/>
      <c r="BW23" s="53"/>
      <c r="BX23" s="53"/>
      <c r="BY23" s="53"/>
      <c r="BZ23" s="48"/>
      <c r="CA23" s="48"/>
      <c r="CB23" s="48"/>
      <c r="CC23" s="48"/>
      <c r="CD23" s="48"/>
      <c r="CE23" s="48"/>
      <c r="CF23" s="48"/>
      <c r="CG23" s="48" t="s">
        <v>79</v>
      </c>
      <c r="CH23" s="48"/>
      <c r="CI23" s="48"/>
    </row>
    <row r="24" spans="1:87" ht="20" customHeight="1">
      <c r="A24" s="1"/>
      <c r="B24" s="60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60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6"/>
      <c r="AM24" s="16"/>
      <c r="AN24" s="61"/>
      <c r="AO24" s="16"/>
      <c r="AP24" s="16"/>
      <c r="AQ24" s="16"/>
      <c r="AR24" s="16"/>
      <c r="AS24" s="16"/>
      <c r="AT24" s="13"/>
      <c r="AU24" s="13"/>
      <c r="AV24" s="13"/>
      <c r="AW24" s="13"/>
      <c r="AX24" s="13"/>
      <c r="AY24" s="13"/>
      <c r="AZ24" s="13"/>
      <c r="BA24" s="13"/>
      <c r="BB24" s="13"/>
      <c r="BC24" s="62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62"/>
      <c r="BW24" s="53"/>
      <c r="BX24" s="53"/>
      <c r="BY24" s="53"/>
      <c r="BZ24" s="48"/>
      <c r="CA24" s="48"/>
      <c r="CB24" s="48"/>
      <c r="CC24" s="48"/>
      <c r="CD24" s="48"/>
      <c r="CE24" s="48"/>
      <c r="CF24" s="48"/>
      <c r="CG24" s="48" t="s">
        <v>104</v>
      </c>
      <c r="CH24" s="48"/>
      <c r="CI24" s="48"/>
    </row>
    <row r="25" spans="1:87" ht="20" customHeight="1">
      <c r="A25" s="1"/>
      <c r="B25" s="58" t="s">
        <v>105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8"/>
      <c r="Y25" s="57" t="s">
        <v>106</v>
      </c>
      <c r="Z25" s="57"/>
      <c r="AA25" s="57"/>
      <c r="AB25" s="57"/>
      <c r="AC25" s="57"/>
      <c r="AD25" s="154">
        <f>+IF(ISBLANK(Data!$AU$18),"",Data!$AU$18)</f>
        <v>65</v>
      </c>
      <c r="AE25" s="102"/>
      <c r="AF25" s="102"/>
      <c r="AG25" s="102"/>
      <c r="AH25" s="102"/>
      <c r="AI25" s="102"/>
      <c r="AJ25" s="57" t="s">
        <v>35</v>
      </c>
      <c r="AK25" s="57"/>
      <c r="AL25" s="63"/>
      <c r="AM25" s="63"/>
      <c r="AN25" s="64"/>
      <c r="AO25" s="57" t="s">
        <v>107</v>
      </c>
      <c r="AP25" s="63"/>
      <c r="AQ25" s="63"/>
      <c r="AR25" s="63"/>
      <c r="AS25" s="154">
        <f>+IF(ISBLANK(Data!$AU$19),"",Data!$AU$19)</f>
        <v>6.5</v>
      </c>
      <c r="AT25" s="102"/>
      <c r="AU25" s="102"/>
      <c r="AV25" s="102"/>
      <c r="AW25" s="102"/>
      <c r="AX25" s="102"/>
      <c r="AY25" s="57" t="s">
        <v>35</v>
      </c>
      <c r="AZ25" s="57"/>
      <c r="BA25" s="57"/>
      <c r="BB25" s="57"/>
      <c r="BC25" s="59"/>
      <c r="BD25" s="57" t="s">
        <v>108</v>
      </c>
      <c r="BE25" s="57"/>
      <c r="BF25" s="57"/>
      <c r="BG25" s="57"/>
      <c r="BH25" s="57"/>
      <c r="BI25" s="57"/>
      <c r="BJ25" s="57"/>
      <c r="BK25" s="57"/>
      <c r="BL25" s="57"/>
      <c r="BM25" s="57"/>
      <c r="BN25" s="173">
        <f>IF(OR(ISBLANK(Data!$AU$18),ISBLANK(Data!$AU$19)),"",Cerapan!$AD$25/Cerapan!$AS$25)</f>
        <v>10</v>
      </c>
      <c r="BO25" s="102"/>
      <c r="BP25" s="102"/>
      <c r="BQ25" s="102"/>
      <c r="BR25" s="57" t="s">
        <v>87</v>
      </c>
      <c r="BS25" s="59"/>
      <c r="BW25" s="53"/>
      <c r="BX25" s="53"/>
      <c r="BY25" s="53"/>
      <c r="BZ25" s="48"/>
      <c r="CA25" s="48"/>
      <c r="CB25" s="48"/>
      <c r="CC25" s="48"/>
      <c r="CD25" s="48"/>
      <c r="CE25" s="48"/>
      <c r="CF25" s="48"/>
      <c r="CG25" s="48" t="s">
        <v>109</v>
      </c>
      <c r="CH25" s="48"/>
      <c r="CI25" s="48"/>
    </row>
    <row r="26" spans="1:87" ht="20" customHeight="1">
      <c r="A26" s="1"/>
      <c r="B26" s="60" t="s">
        <v>110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58" t="s">
        <v>111</v>
      </c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6"/>
      <c r="AN26" s="158" t="s">
        <v>34</v>
      </c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6"/>
      <c r="BD26" s="158" t="s">
        <v>38</v>
      </c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6"/>
      <c r="BW26" s="53"/>
      <c r="BX26" s="53"/>
      <c r="BY26" s="53"/>
      <c r="BZ26" s="48"/>
      <c r="CA26" s="48" t="s">
        <v>112</v>
      </c>
      <c r="CB26" s="48"/>
      <c r="CC26" s="48"/>
      <c r="CD26" s="48"/>
      <c r="CE26" s="48"/>
      <c r="CF26" s="48"/>
      <c r="CG26" s="48"/>
      <c r="CH26" s="48"/>
      <c r="CI26" s="48"/>
    </row>
    <row r="27" spans="1:87" ht="20" customHeight="1">
      <c r="A27" s="1"/>
      <c r="B27" s="60" t="s">
        <v>113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93" t="s">
        <v>114</v>
      </c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9"/>
      <c r="AN27" s="93" t="s">
        <v>115</v>
      </c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9"/>
      <c r="BD27" s="93" t="s">
        <v>116</v>
      </c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9"/>
      <c r="BW27" s="53"/>
      <c r="BX27" s="53"/>
      <c r="BY27" s="53"/>
      <c r="BZ27" s="48"/>
      <c r="CA27" s="48" t="s">
        <v>117</v>
      </c>
      <c r="CB27" s="48"/>
      <c r="CC27" s="48"/>
      <c r="CD27" s="48"/>
      <c r="CE27" s="48"/>
      <c r="CF27" s="48"/>
      <c r="CG27" s="48"/>
      <c r="CH27" s="48"/>
      <c r="CI27" s="48"/>
    </row>
    <row r="28" spans="1:87" ht="20" customHeight="1">
      <c r="A28" s="1"/>
      <c r="B28" s="60" t="s">
        <v>118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58" t="s">
        <v>119</v>
      </c>
      <c r="Y28" s="85"/>
      <c r="Z28" s="85"/>
      <c r="AA28" s="86"/>
      <c r="AB28" s="158" t="s">
        <v>120</v>
      </c>
      <c r="AC28" s="85"/>
      <c r="AD28" s="85"/>
      <c r="AE28" s="86"/>
      <c r="AF28" s="158" t="s">
        <v>121</v>
      </c>
      <c r="AG28" s="85"/>
      <c r="AH28" s="85"/>
      <c r="AI28" s="86"/>
      <c r="AJ28" s="158" t="s">
        <v>122</v>
      </c>
      <c r="AK28" s="85"/>
      <c r="AL28" s="85"/>
      <c r="AM28" s="86"/>
      <c r="AN28" s="158" t="s">
        <v>123</v>
      </c>
      <c r="AO28" s="85"/>
      <c r="AP28" s="85"/>
      <c r="AQ28" s="86"/>
      <c r="AR28" s="158" t="s">
        <v>120</v>
      </c>
      <c r="AS28" s="85"/>
      <c r="AT28" s="85"/>
      <c r="AU28" s="86"/>
      <c r="AV28" s="158" t="s">
        <v>124</v>
      </c>
      <c r="AW28" s="85"/>
      <c r="AX28" s="85"/>
      <c r="AY28" s="86"/>
      <c r="AZ28" s="158" t="s">
        <v>125</v>
      </c>
      <c r="BA28" s="85"/>
      <c r="BB28" s="85"/>
      <c r="BC28" s="86"/>
      <c r="BD28" s="158" t="s">
        <v>126</v>
      </c>
      <c r="BE28" s="85"/>
      <c r="BF28" s="85"/>
      <c r="BG28" s="86"/>
      <c r="BH28" s="158" t="s">
        <v>120</v>
      </c>
      <c r="BI28" s="85"/>
      <c r="BJ28" s="85"/>
      <c r="BK28" s="86"/>
      <c r="BL28" s="158" t="s">
        <v>127</v>
      </c>
      <c r="BM28" s="85"/>
      <c r="BN28" s="85"/>
      <c r="BO28" s="86"/>
      <c r="BP28" s="158" t="s">
        <v>128</v>
      </c>
      <c r="BQ28" s="85"/>
      <c r="BR28" s="85"/>
      <c r="BS28" s="86"/>
      <c r="BW28" s="53"/>
      <c r="BX28" s="53"/>
      <c r="BY28" s="53"/>
      <c r="BZ28" s="48"/>
      <c r="CA28" s="48"/>
      <c r="CB28" s="48"/>
      <c r="CC28" s="48"/>
      <c r="CD28" s="48"/>
      <c r="CE28" s="48"/>
      <c r="CF28" s="48"/>
      <c r="CG28" s="48"/>
      <c r="CH28" s="48"/>
      <c r="CI28" s="48"/>
    </row>
    <row r="29" spans="1:87" ht="20" customHeight="1">
      <c r="A29" s="1"/>
      <c r="B29" s="92" t="s">
        <v>129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14"/>
      <c r="V29" s="14"/>
      <c r="W29" s="13"/>
      <c r="X29" s="90"/>
      <c r="Y29" s="83"/>
      <c r="Z29" s="83"/>
      <c r="AA29" s="91"/>
      <c r="AB29" s="90"/>
      <c r="AC29" s="83"/>
      <c r="AD29" s="83"/>
      <c r="AE29" s="91"/>
      <c r="AF29" s="90"/>
      <c r="AG29" s="83"/>
      <c r="AH29" s="83"/>
      <c r="AI29" s="91"/>
      <c r="AJ29" s="90"/>
      <c r="AK29" s="83"/>
      <c r="AL29" s="83"/>
      <c r="AM29" s="91"/>
      <c r="AN29" s="90"/>
      <c r="AO29" s="83"/>
      <c r="AP29" s="83"/>
      <c r="AQ29" s="91"/>
      <c r="AR29" s="90"/>
      <c r="AS29" s="83"/>
      <c r="AT29" s="83"/>
      <c r="AU29" s="91"/>
      <c r="AV29" s="90"/>
      <c r="AW29" s="83"/>
      <c r="AX29" s="83"/>
      <c r="AY29" s="91"/>
      <c r="AZ29" s="90"/>
      <c r="BA29" s="83"/>
      <c r="BB29" s="83"/>
      <c r="BC29" s="91"/>
      <c r="BD29" s="90"/>
      <c r="BE29" s="83"/>
      <c r="BF29" s="83"/>
      <c r="BG29" s="91"/>
      <c r="BH29" s="90"/>
      <c r="BI29" s="83"/>
      <c r="BJ29" s="83"/>
      <c r="BK29" s="91"/>
      <c r="BL29" s="90"/>
      <c r="BM29" s="83"/>
      <c r="BN29" s="83"/>
      <c r="BO29" s="91"/>
      <c r="BP29" s="90"/>
      <c r="BQ29" s="83"/>
      <c r="BR29" s="83"/>
      <c r="BS29" s="91"/>
      <c r="BW29" s="53"/>
      <c r="BX29" s="53"/>
      <c r="BY29" s="53"/>
      <c r="BZ29" s="48"/>
      <c r="CA29" s="48" t="s">
        <v>130</v>
      </c>
      <c r="CB29" s="48"/>
      <c r="CC29" s="48"/>
      <c r="CD29" s="48"/>
      <c r="CE29" s="48"/>
      <c r="CF29" s="48"/>
      <c r="CG29" s="48"/>
      <c r="CH29" s="48"/>
      <c r="CI29" s="48"/>
    </row>
    <row r="30" spans="1:87" ht="20" customHeight="1">
      <c r="A30" s="1"/>
      <c r="B30" s="87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14"/>
      <c r="V30" s="14"/>
      <c r="W30" s="13"/>
      <c r="X30" s="155" t="s">
        <v>131</v>
      </c>
      <c r="Y30" s="88"/>
      <c r="Z30" s="88"/>
      <c r="AA30" s="89"/>
      <c r="AB30" s="155" t="s">
        <v>112</v>
      </c>
      <c r="AC30" s="88"/>
      <c r="AD30" s="88"/>
      <c r="AE30" s="89"/>
      <c r="AF30" s="155" t="s">
        <v>131</v>
      </c>
      <c r="AG30" s="88"/>
      <c r="AH30" s="88"/>
      <c r="AI30" s="89"/>
      <c r="AJ30" s="155" t="s">
        <v>132</v>
      </c>
      <c r="AK30" s="88"/>
      <c r="AL30" s="88"/>
      <c r="AM30" s="89"/>
      <c r="AN30" s="155" t="s">
        <v>131</v>
      </c>
      <c r="AO30" s="88"/>
      <c r="AP30" s="88"/>
      <c r="AQ30" s="89"/>
      <c r="AR30" s="155" t="s">
        <v>112</v>
      </c>
      <c r="AS30" s="88"/>
      <c r="AT30" s="88"/>
      <c r="AU30" s="89"/>
      <c r="AV30" s="155" t="s">
        <v>131</v>
      </c>
      <c r="AW30" s="88"/>
      <c r="AX30" s="88"/>
      <c r="AY30" s="89"/>
      <c r="AZ30" s="155" t="s">
        <v>132</v>
      </c>
      <c r="BA30" s="88"/>
      <c r="BB30" s="88"/>
      <c r="BC30" s="89"/>
      <c r="BD30" s="155" t="s">
        <v>131</v>
      </c>
      <c r="BE30" s="88"/>
      <c r="BF30" s="88"/>
      <c r="BG30" s="89"/>
      <c r="BH30" s="155" t="s">
        <v>112</v>
      </c>
      <c r="BI30" s="88"/>
      <c r="BJ30" s="88"/>
      <c r="BK30" s="89"/>
      <c r="BL30" s="155" t="s">
        <v>131</v>
      </c>
      <c r="BM30" s="88"/>
      <c r="BN30" s="88"/>
      <c r="BO30" s="89"/>
      <c r="BP30" s="155" t="s">
        <v>132</v>
      </c>
      <c r="BQ30" s="88"/>
      <c r="BR30" s="88"/>
      <c r="BS30" s="89"/>
      <c r="BW30" s="53"/>
      <c r="BX30" s="53"/>
      <c r="BY30" s="53"/>
      <c r="BZ30" s="48"/>
      <c r="CA30" s="48" t="s">
        <v>133</v>
      </c>
      <c r="CB30" s="48"/>
      <c r="CC30" s="48"/>
      <c r="CD30" s="48"/>
      <c r="CE30" s="48"/>
      <c r="CF30" s="48"/>
      <c r="CG30" s="48"/>
      <c r="CH30" s="48"/>
      <c r="CI30" s="48"/>
    </row>
    <row r="31" spans="1:87" ht="20" customHeight="1">
      <c r="A31" s="1"/>
      <c r="B31" s="58" t="s">
        <v>134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144">
        <v>20</v>
      </c>
      <c r="Y31" s="102"/>
      <c r="Z31" s="102"/>
      <c r="AA31" s="103"/>
      <c r="AB31" s="145">
        <v>-22</v>
      </c>
      <c r="AC31" s="102"/>
      <c r="AD31" s="102"/>
      <c r="AE31" s="103"/>
      <c r="AF31" s="156">
        <f>+IF(ISBLANK($AB$31),"",IF($AB$30="(skala)",$BF$19+($AB$31*$BF$20/1000),$BF$19+$AB$31/1000))</f>
        <v>19.974500000000003</v>
      </c>
      <c r="AG31" s="102"/>
      <c r="AH31" s="102"/>
      <c r="AI31" s="103"/>
      <c r="AJ31" s="156">
        <f>+IF(ISBLANK($X$31),"",($X$31-$AF$31)/$X$31*100)</f>
        <v>0.12749999999998707</v>
      </c>
      <c r="AK31" s="102"/>
      <c r="AL31" s="102"/>
      <c r="AM31" s="102"/>
      <c r="AN31" s="144">
        <v>20</v>
      </c>
      <c r="AO31" s="102"/>
      <c r="AP31" s="102"/>
      <c r="AQ31" s="103"/>
      <c r="AR31" s="145">
        <v>-35</v>
      </c>
      <c r="AS31" s="102"/>
      <c r="AT31" s="102"/>
      <c r="AU31" s="103"/>
      <c r="AV31" s="156">
        <f>+IF(ISBLANK($AB$31),"",IF($AB$30="(skala)",$BF$19+($AR$31*$BF$20/1000),$BF$19+$AR$31/1000))</f>
        <v>19.961500000000001</v>
      </c>
      <c r="AW31" s="102"/>
      <c r="AX31" s="102"/>
      <c r="AY31" s="103"/>
      <c r="AZ31" s="156">
        <f>+IF(ISBLANK($AN$31),"",($AN$31-$AV$31)/$AN$31*100)</f>
        <v>0.19249999999999545</v>
      </c>
      <c r="BA31" s="102"/>
      <c r="BB31" s="102"/>
      <c r="BC31" s="102"/>
      <c r="BD31" s="144">
        <v>20</v>
      </c>
      <c r="BE31" s="102"/>
      <c r="BF31" s="102"/>
      <c r="BG31" s="103"/>
      <c r="BH31" s="145">
        <v>-55</v>
      </c>
      <c r="BI31" s="102"/>
      <c r="BJ31" s="102"/>
      <c r="BK31" s="103"/>
      <c r="BL31" s="156">
        <f>+IF(ISBLANK($AB$31),"",IF($AB$30="(skala)",$BF$19+($BH$31*$BF$20/1000),$BF$19+$BH$31/1000))</f>
        <v>19.941500000000001</v>
      </c>
      <c r="BM31" s="102"/>
      <c r="BN31" s="102"/>
      <c r="BO31" s="103"/>
      <c r="BP31" s="156">
        <f>+IF(ISBLANK($BD$31),"",($BD$31-$BL$31)/$BD$31*100)</f>
        <v>0.29249999999999332</v>
      </c>
      <c r="BQ31" s="102"/>
      <c r="BR31" s="102"/>
      <c r="BS31" s="103"/>
      <c r="BT31" s="13"/>
      <c r="BU31" s="13"/>
      <c r="BV31" s="13"/>
      <c r="BW31" s="65"/>
      <c r="BX31" s="65"/>
      <c r="BY31" s="65"/>
      <c r="BZ31" s="13"/>
      <c r="CA31" s="13"/>
      <c r="CB31" s="48"/>
      <c r="CC31" s="48"/>
      <c r="CD31" s="48"/>
      <c r="CE31" s="48"/>
      <c r="CF31" s="48"/>
      <c r="CG31" s="48"/>
      <c r="CH31" s="48"/>
      <c r="CI31" s="48"/>
    </row>
    <row r="32" spans="1:87" ht="20" customHeight="1">
      <c r="A32" s="1"/>
      <c r="B32" s="60" t="s">
        <v>135</v>
      </c>
      <c r="C32" s="1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44">
        <v>20</v>
      </c>
      <c r="Y32" s="102"/>
      <c r="Z32" s="102"/>
      <c r="AA32" s="103"/>
      <c r="AB32" s="145">
        <v>-19</v>
      </c>
      <c r="AC32" s="102"/>
      <c r="AD32" s="102"/>
      <c r="AE32" s="103"/>
      <c r="AF32" s="156">
        <f>+IF(ISBLANK($AB$31),"",IF($AB$30="(skala)",$BF$19+($AB$32*$BF$20/1000),$BF$19+$AB$32/1000))</f>
        <v>19.977500000000003</v>
      </c>
      <c r="AG32" s="102"/>
      <c r="AH32" s="102"/>
      <c r="AI32" s="103"/>
      <c r="AJ32" s="156">
        <f>+IF(ISBLANK($X$32),"",($X$32-$AF$32)/$X$32*100)</f>
        <v>0.1124999999999865</v>
      </c>
      <c r="AK32" s="102"/>
      <c r="AL32" s="102"/>
      <c r="AM32" s="102"/>
      <c r="AN32" s="143"/>
      <c r="AO32" s="102"/>
      <c r="AP32" s="102"/>
      <c r="AQ32" s="103"/>
      <c r="AR32" s="143"/>
      <c r="AS32" s="102"/>
      <c r="AT32" s="102"/>
      <c r="AU32" s="103"/>
      <c r="AV32" s="143"/>
      <c r="AW32" s="102"/>
      <c r="AX32" s="102"/>
      <c r="AY32" s="103"/>
      <c r="AZ32" s="143"/>
      <c r="BA32" s="102"/>
      <c r="BB32" s="102"/>
      <c r="BC32" s="103"/>
      <c r="BD32" s="143"/>
      <c r="BE32" s="102"/>
      <c r="BF32" s="102"/>
      <c r="BG32" s="103"/>
      <c r="BH32" s="143"/>
      <c r="BI32" s="102"/>
      <c r="BJ32" s="102"/>
      <c r="BK32" s="103"/>
      <c r="BL32" s="143"/>
      <c r="BM32" s="102"/>
      <c r="BN32" s="102"/>
      <c r="BO32" s="103"/>
      <c r="BP32" s="143"/>
      <c r="BQ32" s="102"/>
      <c r="BR32" s="102"/>
      <c r="BS32" s="103"/>
      <c r="BW32" s="53"/>
      <c r="BX32" s="53"/>
      <c r="BY32" s="53"/>
      <c r="BZ32" s="48"/>
      <c r="CA32" s="48" t="s">
        <v>136</v>
      </c>
      <c r="CB32" s="48"/>
      <c r="CC32" s="48"/>
      <c r="CD32" s="48"/>
      <c r="CE32" s="48"/>
      <c r="CF32" s="48"/>
      <c r="CG32" s="48"/>
      <c r="CH32" s="48"/>
      <c r="CI32" s="48"/>
    </row>
    <row r="33" spans="1:87" ht="20" customHeight="1">
      <c r="A33" s="1"/>
      <c r="B33" s="58" t="s">
        <v>137</v>
      </c>
      <c r="C33" s="57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144">
        <v>20</v>
      </c>
      <c r="Y33" s="102"/>
      <c r="Z33" s="102"/>
      <c r="AA33" s="103"/>
      <c r="AB33" s="145">
        <v>-22</v>
      </c>
      <c r="AC33" s="102"/>
      <c r="AD33" s="102"/>
      <c r="AE33" s="103"/>
      <c r="AF33" s="156">
        <f>+IF(ISBLANK($AB$31),"",IF($AB$30="(skala)",$BF$19+($AB$33*$BF$20/1000),$BF$19+$AB$33/1000))</f>
        <v>19.974500000000003</v>
      </c>
      <c r="AG33" s="102"/>
      <c r="AH33" s="102"/>
      <c r="AI33" s="103"/>
      <c r="AJ33" s="156">
        <f>+IF(ISBLANK($X$33),"",($X$33-$AF$33)/$X$33*100)</f>
        <v>0.12749999999998707</v>
      </c>
      <c r="AK33" s="102"/>
      <c r="AL33" s="102"/>
      <c r="AM33" s="102"/>
      <c r="AN33" s="143"/>
      <c r="AO33" s="102"/>
      <c r="AP33" s="102"/>
      <c r="AQ33" s="103"/>
      <c r="AR33" s="143"/>
      <c r="AS33" s="102"/>
      <c r="AT33" s="102"/>
      <c r="AU33" s="103"/>
      <c r="AV33" s="143"/>
      <c r="AW33" s="102"/>
      <c r="AX33" s="102"/>
      <c r="AY33" s="103"/>
      <c r="AZ33" s="143"/>
      <c r="BA33" s="102"/>
      <c r="BB33" s="102"/>
      <c r="BC33" s="103"/>
      <c r="BD33" s="143"/>
      <c r="BE33" s="102"/>
      <c r="BF33" s="102"/>
      <c r="BG33" s="103"/>
      <c r="BH33" s="143"/>
      <c r="BI33" s="102"/>
      <c r="BJ33" s="102"/>
      <c r="BK33" s="103"/>
      <c r="BL33" s="143"/>
      <c r="BM33" s="102"/>
      <c r="BN33" s="102"/>
      <c r="BO33" s="103"/>
      <c r="BP33" s="143"/>
      <c r="BQ33" s="102"/>
      <c r="BR33" s="102"/>
      <c r="BS33" s="103"/>
      <c r="BW33" s="53"/>
      <c r="BX33" s="53"/>
      <c r="BY33" s="53"/>
      <c r="BZ33" s="48"/>
      <c r="CA33" s="48" t="s">
        <v>138</v>
      </c>
      <c r="CB33" s="48"/>
      <c r="CC33" s="48"/>
      <c r="CD33" s="48"/>
      <c r="CE33" s="48"/>
      <c r="CF33" s="48"/>
      <c r="CG33" s="48"/>
      <c r="CH33" s="48"/>
      <c r="CI33" s="48"/>
    </row>
    <row r="34" spans="1:87" ht="20" customHeight="1">
      <c r="A34" s="1"/>
      <c r="B34" s="224" t="s">
        <v>139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169">
        <f>IF(ISBLANK($X$33),"",AVERAGE($AJ$31:$AM$33))</f>
        <v>0.12249999999998688</v>
      </c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70" t="s">
        <v>140</v>
      </c>
      <c r="AK34" s="102"/>
      <c r="AL34" s="102"/>
      <c r="AM34" s="102"/>
      <c r="AN34" s="169">
        <f>IF(ISBLANK($AN$31),"",AVERAGE($AZ$31:$BC$33))</f>
        <v>0.19249999999999545</v>
      </c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70" t="s">
        <v>140</v>
      </c>
      <c r="BA34" s="102"/>
      <c r="BB34" s="102"/>
      <c r="BC34" s="102"/>
      <c r="BD34" s="169">
        <f>IF(ISBLANK($BD$31),"",AVERAGE($BP$31:$BS$33))</f>
        <v>0.29249999999999332</v>
      </c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70" t="s">
        <v>140</v>
      </c>
      <c r="BQ34" s="102"/>
      <c r="BR34" s="102"/>
      <c r="BS34" s="103"/>
      <c r="BW34" s="53"/>
      <c r="BX34" s="53"/>
      <c r="BY34" s="53"/>
      <c r="BZ34" s="48"/>
      <c r="CA34" s="48"/>
      <c r="CB34" s="48"/>
      <c r="CC34" s="48"/>
      <c r="CD34" s="48"/>
      <c r="CE34" s="48"/>
      <c r="CF34" s="48"/>
      <c r="CG34" s="48"/>
      <c r="CH34" s="48"/>
      <c r="CI34" s="48"/>
    </row>
    <row r="35" spans="1:87" ht="20" customHeight="1">
      <c r="A35" s="1"/>
      <c r="B35" s="225" t="s">
        <v>141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65">
        <f>+IF(ISBLANK($X$33),"",MAX($AJ$31:$AM$33)-MIN($AJ$31:$AM$33))</f>
        <v>1.5000000000000568E-2</v>
      </c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211" t="s">
        <v>140</v>
      </c>
      <c r="AK35" s="85"/>
      <c r="AL35" s="85"/>
      <c r="AM35" s="85"/>
      <c r="AN35" s="66"/>
      <c r="AO35" s="67"/>
      <c r="AP35" s="67"/>
      <c r="AQ35" s="67"/>
      <c r="AR35" s="67"/>
      <c r="AS35" s="67"/>
      <c r="AT35" s="68"/>
      <c r="AU35" s="68"/>
      <c r="AV35" s="68"/>
      <c r="AW35" s="68"/>
      <c r="AX35" s="68"/>
      <c r="AY35" s="68"/>
      <c r="AZ35" s="68"/>
      <c r="BA35" s="68"/>
      <c r="BB35" s="68"/>
      <c r="BC35" s="69"/>
      <c r="BD35" s="70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9"/>
      <c r="BW35" s="53"/>
      <c r="BX35" s="53"/>
      <c r="BY35" s="53"/>
      <c r="BZ35" s="48"/>
      <c r="CA35" s="48" t="s">
        <v>142</v>
      </c>
      <c r="CB35" s="48"/>
      <c r="CC35" s="48"/>
      <c r="CD35" s="48"/>
      <c r="CE35" s="48"/>
      <c r="CF35" s="48"/>
      <c r="CG35" s="48"/>
      <c r="CH35" s="48"/>
      <c r="CI35" s="48"/>
    </row>
    <row r="36" spans="1:87" ht="20" customHeight="1">
      <c r="A36" s="1"/>
      <c r="B36" s="224" t="s">
        <v>143</v>
      </c>
      <c r="C36" s="226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163" t="s">
        <v>144</v>
      </c>
      <c r="Y36" s="102"/>
      <c r="Z36" s="102"/>
      <c r="AA36" s="102"/>
      <c r="AB36" s="164">
        <f>+IF(OR(ISBLANK($AB$33),ISBLANK($AR$31),ISBLANK($BH$31)),"",SUM($AF$31:$AI$33,$AV$31:$AY$33,$BL$31:$BO$33))</f>
        <v>99.82950000000001</v>
      </c>
      <c r="AC36" s="102"/>
      <c r="AD36" s="102"/>
      <c r="AE36" s="102"/>
      <c r="AF36" s="102"/>
      <c r="AG36" s="102"/>
      <c r="AH36" s="102"/>
      <c r="AI36" s="102"/>
      <c r="AJ36" s="170" t="s">
        <v>87</v>
      </c>
      <c r="AK36" s="102"/>
      <c r="AL36" s="102"/>
      <c r="AM36" s="103"/>
      <c r="AN36" s="163" t="s">
        <v>145</v>
      </c>
      <c r="AO36" s="102"/>
      <c r="AP36" s="102"/>
      <c r="AQ36" s="102"/>
      <c r="AR36" s="164">
        <f>+IF(OR(ISBLANK($X$33),ISBLANK($AN$31),ISBLANK($BD$31)),"",SUM($X$31:$AA$33,$AN$31:$AQ$33,$BD$31:$BG$33))</f>
        <v>100</v>
      </c>
      <c r="AS36" s="102"/>
      <c r="AT36" s="102"/>
      <c r="AU36" s="102"/>
      <c r="AV36" s="102"/>
      <c r="AW36" s="102"/>
      <c r="AX36" s="102"/>
      <c r="AY36" s="102"/>
      <c r="AZ36" s="170" t="s">
        <v>87</v>
      </c>
      <c r="BA36" s="102"/>
      <c r="BB36" s="102"/>
      <c r="BC36" s="103"/>
      <c r="BD36" s="177" t="s">
        <v>146</v>
      </c>
      <c r="BE36" s="102"/>
      <c r="BF36" s="102"/>
      <c r="BG36" s="102"/>
      <c r="BH36" s="102"/>
      <c r="BI36" s="102"/>
      <c r="BJ36" s="154">
        <f>IF(OR(ISBLANK($X$33),ISBLANK($AB$33),ISBLANK($AN$31),ISBLANK($AR$31),ISBLANK($BD$31),ISBLANK($BH$31)),"",$AB$36/$AR$36)</f>
        <v>0.99829500000000015</v>
      </c>
      <c r="BK36" s="102"/>
      <c r="BL36" s="102"/>
      <c r="BM36" s="102"/>
      <c r="BN36" s="102"/>
      <c r="BO36" s="102"/>
      <c r="BP36" s="102"/>
      <c r="BQ36" s="102"/>
      <c r="BR36" s="102"/>
      <c r="BS36" s="103"/>
      <c r="BW36" s="53"/>
      <c r="BX36" s="53"/>
      <c r="BY36" s="53"/>
      <c r="BZ36" s="48"/>
      <c r="CA36" s="48" t="s">
        <v>147</v>
      </c>
      <c r="CB36" s="48"/>
      <c r="CC36" s="48"/>
      <c r="CD36" s="48"/>
      <c r="CE36" s="48"/>
      <c r="CF36" s="48"/>
      <c r="CG36" s="48"/>
      <c r="CH36" s="48"/>
      <c r="CI36" s="48"/>
    </row>
    <row r="37" spans="1:87" ht="20" customHeight="1">
      <c r="A37" s="1"/>
      <c r="B37" s="158" t="s">
        <v>148</v>
      </c>
      <c r="C37" s="85"/>
      <c r="D37" s="85"/>
      <c r="E37" s="85"/>
      <c r="F37" s="86"/>
      <c r="G37" s="71" t="s">
        <v>149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158" t="s">
        <v>150</v>
      </c>
      <c r="Y37" s="85"/>
      <c r="Z37" s="85"/>
      <c r="AA37" s="85"/>
      <c r="AB37" s="85"/>
      <c r="AC37" s="85"/>
      <c r="AD37" s="159" t="s">
        <v>133</v>
      </c>
      <c r="AE37" s="85"/>
      <c r="AF37" s="85"/>
      <c r="AG37" s="85"/>
      <c r="AH37" s="85"/>
      <c r="AI37" s="85"/>
      <c r="AJ37" s="85"/>
      <c r="AK37" s="85"/>
      <c r="AL37" s="160"/>
      <c r="AM37" s="73"/>
      <c r="AN37" s="184" t="s">
        <v>151</v>
      </c>
      <c r="AO37" s="85"/>
      <c r="AP37" s="85"/>
      <c r="AQ37" s="85"/>
      <c r="AR37" s="85"/>
      <c r="AS37" s="85"/>
      <c r="AT37" s="182">
        <v>99</v>
      </c>
      <c r="AU37" s="85"/>
      <c r="AV37" s="85"/>
      <c r="AW37" s="85"/>
      <c r="AX37" s="85"/>
      <c r="AY37" s="85"/>
      <c r="AZ37" s="85"/>
      <c r="BA37" s="85"/>
      <c r="BB37" s="85"/>
      <c r="BC37" s="86"/>
      <c r="BD37" s="184" t="s">
        <v>152</v>
      </c>
      <c r="BE37" s="85"/>
      <c r="BF37" s="85"/>
      <c r="BG37" s="85"/>
      <c r="BH37" s="85"/>
      <c r="BI37" s="85"/>
      <c r="BJ37" s="178">
        <f>+IF(OR(ISBLANK($AD$37),ISBLANK($AT$37)),"",IF($AD$37="volume/pulse",$AT$37*$BJ$36,$AT$37/$BJ$36))</f>
        <v>99.169083287004327</v>
      </c>
      <c r="BK37" s="85"/>
      <c r="BL37" s="85"/>
      <c r="BM37" s="85"/>
      <c r="BN37" s="85"/>
      <c r="BO37" s="85"/>
      <c r="BP37" s="85"/>
      <c r="BQ37" s="85"/>
      <c r="BR37" s="85"/>
      <c r="BS37" s="86"/>
      <c r="BW37" s="53"/>
      <c r="BX37" s="53"/>
      <c r="BY37" s="53"/>
      <c r="BZ37" s="48"/>
      <c r="CA37" s="212" t="str">
        <f>IF(OR(ABS($AJ$31)&gt;0.5,ABS($AJ$32)&gt;0.5,ABS($AJ$33)&gt;0.5,ABS($AZ$31)&gt;0.5,ABS($BP$31)&gt;0.5,ABS($X$34)&gt;0.5,ABS($AN$34)&gt;0.5,ABS($BD$34)&gt;0.5,$X$35&gt;0.1),"BATAL","SAH")</f>
        <v>SAH</v>
      </c>
      <c r="CB37" s="83"/>
      <c r="CC37" s="83"/>
      <c r="CD37" s="83"/>
      <c r="CE37" s="83"/>
      <c r="CF37" s="83"/>
      <c r="CG37" s="83"/>
      <c r="CH37" s="83"/>
      <c r="CI37" s="83"/>
    </row>
    <row r="38" spans="1:87" ht="20" customHeight="1">
      <c r="A38" s="1"/>
      <c r="B38" s="93" t="s">
        <v>153</v>
      </c>
      <c r="C38" s="88"/>
      <c r="D38" s="88"/>
      <c r="E38" s="88"/>
      <c r="F38" s="89"/>
      <c r="G38" s="74" t="s">
        <v>154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87"/>
      <c r="Y38" s="88"/>
      <c r="Z38" s="88"/>
      <c r="AA38" s="88"/>
      <c r="AB38" s="88"/>
      <c r="AC38" s="88"/>
      <c r="AD38" s="161"/>
      <c r="AE38" s="88"/>
      <c r="AF38" s="88"/>
      <c r="AG38" s="88"/>
      <c r="AH38" s="88"/>
      <c r="AI38" s="88"/>
      <c r="AJ38" s="88"/>
      <c r="AK38" s="88"/>
      <c r="AL38" s="162"/>
      <c r="AM38" s="23"/>
      <c r="AN38" s="87"/>
      <c r="AO38" s="88"/>
      <c r="AP38" s="88"/>
      <c r="AQ38" s="88"/>
      <c r="AR38" s="88"/>
      <c r="AS38" s="88"/>
      <c r="AT38" s="161"/>
      <c r="AU38" s="88"/>
      <c r="AV38" s="88"/>
      <c r="AW38" s="88"/>
      <c r="AX38" s="88"/>
      <c r="AY38" s="88"/>
      <c r="AZ38" s="88"/>
      <c r="BA38" s="88"/>
      <c r="BB38" s="88"/>
      <c r="BC38" s="89"/>
      <c r="BD38" s="87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9"/>
      <c r="BW38" s="53"/>
      <c r="BX38" s="53"/>
      <c r="BY38" s="53"/>
      <c r="BZ38" s="48"/>
      <c r="CA38" s="83"/>
      <c r="CB38" s="83"/>
      <c r="CC38" s="83"/>
      <c r="CD38" s="83"/>
      <c r="CE38" s="83"/>
      <c r="CF38" s="83"/>
      <c r="CG38" s="83"/>
      <c r="CH38" s="83"/>
      <c r="CI38" s="83"/>
    </row>
    <row r="39" spans="1:87" ht="20" customHeight="1">
      <c r="A39" s="1"/>
      <c r="B39" s="191" t="s">
        <v>155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209" t="s">
        <v>156</v>
      </c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3"/>
      <c r="AN39" s="210" t="s">
        <v>157</v>
      </c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3"/>
      <c r="BD39" s="209" t="s">
        <v>68</v>
      </c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3"/>
      <c r="BW39" s="53"/>
      <c r="BX39" s="53"/>
      <c r="BY39" s="53"/>
      <c r="BZ39" s="48"/>
      <c r="CA39" s="48"/>
      <c r="CB39" s="48"/>
      <c r="CC39" s="48"/>
      <c r="CD39" s="48"/>
      <c r="CE39" s="48"/>
      <c r="CF39" s="48"/>
      <c r="CG39" s="48"/>
      <c r="CH39" s="48"/>
      <c r="CI39" s="48"/>
    </row>
    <row r="40" spans="1:87" ht="20" customHeight="1">
      <c r="A40" s="1"/>
      <c r="B40" s="8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177" t="s">
        <v>158</v>
      </c>
      <c r="Y40" s="102"/>
      <c r="Z40" s="102"/>
      <c r="AA40" s="102"/>
      <c r="AB40" s="102"/>
      <c r="AC40" s="102"/>
      <c r="AD40" s="102"/>
      <c r="AE40" s="208">
        <f>IF(ISBLANK(X33),"",$X$34)</f>
        <v>0.12249999999998688</v>
      </c>
      <c r="AF40" s="102"/>
      <c r="AG40" s="102"/>
      <c r="AH40" s="102"/>
      <c r="AI40" s="102"/>
      <c r="AJ40" s="102"/>
      <c r="AK40" s="170" t="s">
        <v>140</v>
      </c>
      <c r="AL40" s="102"/>
      <c r="AM40" s="103"/>
      <c r="AN40" s="177" t="s">
        <v>158</v>
      </c>
      <c r="AO40" s="102"/>
      <c r="AP40" s="102"/>
      <c r="AQ40" s="102"/>
      <c r="AR40" s="102"/>
      <c r="AS40" s="102"/>
      <c r="AT40" s="102"/>
      <c r="AU40" s="208">
        <f>IF(ISBLANK(AN31),"",$AN$34)</f>
        <v>0.19249999999999545</v>
      </c>
      <c r="AV40" s="102"/>
      <c r="AW40" s="102"/>
      <c r="AX40" s="102"/>
      <c r="AY40" s="102"/>
      <c r="AZ40" s="102"/>
      <c r="BA40" s="170" t="s">
        <v>140</v>
      </c>
      <c r="BB40" s="102"/>
      <c r="BC40" s="103"/>
      <c r="BD40" s="203" t="s">
        <v>39</v>
      </c>
      <c r="BE40" s="102"/>
      <c r="BF40" s="102"/>
      <c r="BG40" s="153"/>
      <c r="BH40" s="177" t="str">
        <f t="shared" ref="BH40:BH42" si="0">IF(BD40="x","lolos","gagal")</f>
        <v>lolos</v>
      </c>
      <c r="BI40" s="102"/>
      <c r="BJ40" s="102"/>
      <c r="BK40" s="103"/>
      <c r="BL40" s="199" t="str">
        <f t="shared" ref="BL40:BL42" si="1">+IF(BD40="x","-","x")</f>
        <v>-</v>
      </c>
      <c r="BM40" s="102"/>
      <c r="BN40" s="102"/>
      <c r="BO40" s="103"/>
      <c r="BP40" s="177" t="str">
        <f t="shared" ref="BP40:BP42" si="2">IF(BL40="x","lolos","gagal")</f>
        <v>gagal</v>
      </c>
      <c r="BQ40" s="102"/>
      <c r="BR40" s="102"/>
      <c r="BS40" s="103"/>
      <c r="BW40" s="53"/>
      <c r="BX40" s="53"/>
      <c r="BY40" s="53"/>
      <c r="BZ40" s="48"/>
      <c r="CA40" s="48"/>
      <c r="CB40" s="48"/>
      <c r="CC40" s="48"/>
      <c r="CD40" s="48"/>
      <c r="CE40" s="48"/>
      <c r="CF40" s="48"/>
      <c r="CG40" s="48"/>
      <c r="CH40" s="48"/>
      <c r="CI40" s="48"/>
    </row>
    <row r="41" spans="1:87" ht="20" customHeight="1">
      <c r="A41" s="1"/>
      <c r="B41" s="58" t="s">
        <v>159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177" t="s">
        <v>160</v>
      </c>
      <c r="Y41" s="102"/>
      <c r="Z41" s="102"/>
      <c r="AA41" s="171">
        <v>7</v>
      </c>
      <c r="AB41" s="102"/>
      <c r="AC41" s="102"/>
      <c r="AD41" s="153"/>
      <c r="AE41" s="57" t="s">
        <v>94</v>
      </c>
      <c r="AF41" s="57"/>
      <c r="AG41" s="59"/>
      <c r="AH41" s="57"/>
      <c r="AI41" s="57" t="s">
        <v>161</v>
      </c>
      <c r="AJ41" s="57"/>
      <c r="AK41" s="57"/>
      <c r="AL41" s="185" t="s">
        <v>136</v>
      </c>
      <c r="AM41" s="102"/>
      <c r="AN41" s="102"/>
      <c r="AO41" s="102"/>
      <c r="AP41" s="102"/>
      <c r="AQ41" s="102"/>
      <c r="AR41" s="102"/>
      <c r="AS41" s="102"/>
      <c r="AT41" s="102"/>
      <c r="AU41" s="57"/>
      <c r="AV41" s="57" t="s">
        <v>162</v>
      </c>
      <c r="AW41" s="57"/>
      <c r="AX41" s="179">
        <f>+IF(OR(ISBLANK(Data!$AU$20),ISBLANK(Cerapan!$AL$41)),"",IF(Cerapan!$AUL$1="tanpa hose reel",Data!$AU$20*0.01*1000,Data!$AU$20*0.02*1000))</f>
        <v>0</v>
      </c>
      <c r="AY41" s="102"/>
      <c r="AZ41" s="102"/>
      <c r="BA41" s="57" t="s">
        <v>94</v>
      </c>
      <c r="BB41" s="57"/>
      <c r="BC41" s="57"/>
      <c r="BD41" s="203" t="s">
        <v>39</v>
      </c>
      <c r="BE41" s="102"/>
      <c r="BF41" s="102"/>
      <c r="BG41" s="153"/>
      <c r="BH41" s="177" t="str">
        <f t="shared" si="0"/>
        <v>lolos</v>
      </c>
      <c r="BI41" s="102"/>
      <c r="BJ41" s="102"/>
      <c r="BK41" s="103"/>
      <c r="BL41" s="199" t="str">
        <f t="shared" si="1"/>
        <v>-</v>
      </c>
      <c r="BM41" s="102"/>
      <c r="BN41" s="102"/>
      <c r="BO41" s="103"/>
      <c r="BP41" s="177" t="str">
        <f t="shared" si="2"/>
        <v>gagal</v>
      </c>
      <c r="BQ41" s="102"/>
      <c r="BR41" s="102"/>
      <c r="BS41" s="103"/>
      <c r="BW41" s="53"/>
      <c r="BX41" s="53"/>
      <c r="BY41" s="53"/>
      <c r="BZ41" s="48"/>
      <c r="CA41" s="48"/>
      <c r="CB41" s="48"/>
      <c r="CC41" s="48"/>
      <c r="CD41" s="48"/>
      <c r="CE41" s="48"/>
      <c r="CF41" s="48"/>
      <c r="CG41" s="48"/>
      <c r="CH41" s="48"/>
      <c r="CI41" s="48"/>
    </row>
    <row r="42" spans="1:87" ht="20" customHeight="1">
      <c r="A42" s="1"/>
      <c r="B42" s="191" t="s">
        <v>163</v>
      </c>
      <c r="C42" s="85"/>
      <c r="D42" s="85"/>
      <c r="E42" s="85"/>
      <c r="F42" s="85"/>
      <c r="G42" s="85"/>
      <c r="H42" s="85"/>
      <c r="I42" s="85"/>
      <c r="J42" s="85"/>
      <c r="K42" s="85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177" t="s">
        <v>160</v>
      </c>
      <c r="Y42" s="102"/>
      <c r="Z42" s="102"/>
      <c r="AA42" s="171">
        <v>10</v>
      </c>
      <c r="AB42" s="102"/>
      <c r="AC42" s="102"/>
      <c r="AD42" s="153"/>
      <c r="AE42" s="57" t="s">
        <v>87</v>
      </c>
      <c r="AF42" s="57"/>
      <c r="AG42" s="59"/>
      <c r="AH42" s="177" t="s">
        <v>164</v>
      </c>
      <c r="AI42" s="102"/>
      <c r="AJ42" s="102"/>
      <c r="AK42" s="171">
        <v>10.5</v>
      </c>
      <c r="AL42" s="102"/>
      <c r="AM42" s="102"/>
      <c r="AN42" s="153"/>
      <c r="AO42" s="57" t="s">
        <v>165</v>
      </c>
      <c r="AP42" s="57"/>
      <c r="AQ42" s="59"/>
      <c r="AR42" s="177" t="s">
        <v>166</v>
      </c>
      <c r="AS42" s="102"/>
      <c r="AT42" s="102"/>
      <c r="AU42" s="179">
        <f>+IF(OR(ISBLANK($AA$42),ISBLANK($AA$42)),"",$AA$42/$AK$42*60)</f>
        <v>57.142857142857139</v>
      </c>
      <c r="AV42" s="102"/>
      <c r="AW42" s="102"/>
      <c r="AX42" s="102"/>
      <c r="AY42" s="57"/>
      <c r="AZ42" s="57" t="s">
        <v>35</v>
      </c>
      <c r="BA42" s="57"/>
      <c r="BB42" s="57"/>
      <c r="BC42" s="59"/>
      <c r="BD42" s="197" t="s">
        <v>39</v>
      </c>
      <c r="BE42" s="85"/>
      <c r="BF42" s="85"/>
      <c r="BG42" s="160"/>
      <c r="BH42" s="158" t="str">
        <f t="shared" si="0"/>
        <v>lolos</v>
      </c>
      <c r="BI42" s="85"/>
      <c r="BJ42" s="85"/>
      <c r="BK42" s="86"/>
      <c r="BL42" s="205" t="str">
        <f t="shared" si="1"/>
        <v>-</v>
      </c>
      <c r="BM42" s="85"/>
      <c r="BN42" s="85"/>
      <c r="BO42" s="86"/>
      <c r="BP42" s="158" t="str">
        <f t="shared" si="2"/>
        <v>gagal</v>
      </c>
      <c r="BQ42" s="85"/>
      <c r="BR42" s="85"/>
      <c r="BS42" s="86"/>
      <c r="BW42" s="53"/>
      <c r="BX42" s="53"/>
      <c r="BY42" s="53"/>
      <c r="BZ42" s="48"/>
      <c r="CA42" s="48"/>
      <c r="CB42" s="48"/>
      <c r="CC42" s="48"/>
      <c r="CD42" s="48"/>
      <c r="CE42" s="48"/>
      <c r="CF42" s="48"/>
      <c r="CG42" s="48"/>
      <c r="CH42" s="48"/>
      <c r="CI42" s="48"/>
    </row>
    <row r="43" spans="1:87" ht="20" customHeight="1">
      <c r="A43" s="1"/>
      <c r="B43" s="87"/>
      <c r="C43" s="88"/>
      <c r="D43" s="88"/>
      <c r="E43" s="88"/>
      <c r="F43" s="88"/>
      <c r="G43" s="88"/>
      <c r="H43" s="88"/>
      <c r="I43" s="88"/>
      <c r="J43" s="88"/>
      <c r="K43" s="88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177" t="s">
        <v>167</v>
      </c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81">
        <f>IF(OR(ISBLANK($AA$42),ISBLANK($AK$42)),"",$AU$42/$AS$25)</f>
        <v>8.7912087912087902</v>
      </c>
      <c r="AS43" s="102"/>
      <c r="AT43" s="102"/>
      <c r="AU43" s="102"/>
      <c r="AV43" s="57"/>
      <c r="AW43" s="57"/>
      <c r="AX43" s="57"/>
      <c r="AY43" s="57"/>
      <c r="AZ43" s="57"/>
      <c r="BA43" s="57"/>
      <c r="BB43" s="57"/>
      <c r="BC43" s="59"/>
      <c r="BD43" s="87"/>
      <c r="BE43" s="88"/>
      <c r="BF43" s="88"/>
      <c r="BG43" s="162"/>
      <c r="BH43" s="87"/>
      <c r="BI43" s="88"/>
      <c r="BJ43" s="88"/>
      <c r="BK43" s="89"/>
      <c r="BL43" s="87"/>
      <c r="BM43" s="88"/>
      <c r="BN43" s="88"/>
      <c r="BO43" s="89"/>
      <c r="BP43" s="87"/>
      <c r="BQ43" s="88"/>
      <c r="BR43" s="88"/>
      <c r="BS43" s="89"/>
      <c r="BW43" s="53"/>
      <c r="BX43" s="53"/>
      <c r="BY43" s="53"/>
      <c r="BZ43" s="48"/>
      <c r="CA43" s="48"/>
      <c r="CB43" s="48"/>
      <c r="CC43" s="48"/>
      <c r="CD43" s="48"/>
      <c r="CE43" s="48"/>
      <c r="CF43" s="48"/>
      <c r="CG43" s="48"/>
      <c r="CH43" s="48"/>
      <c r="CI43" s="48"/>
    </row>
    <row r="44" spans="1:87" ht="20" customHeight="1">
      <c r="A44" s="1"/>
      <c r="B44" s="75" t="s">
        <v>168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6"/>
      <c r="X44" s="58" t="s">
        <v>169</v>
      </c>
      <c r="Y44" s="57"/>
      <c r="Z44" s="57"/>
      <c r="AA44" s="57"/>
      <c r="AB44" s="57"/>
      <c r="AC44" s="57"/>
      <c r="AD44" s="57" t="s">
        <v>170</v>
      </c>
      <c r="AE44" s="31"/>
      <c r="AF44" s="57"/>
      <c r="AG44" s="183">
        <v>200040</v>
      </c>
      <c r="AH44" s="102"/>
      <c r="AI44" s="102"/>
      <c r="AJ44" s="102"/>
      <c r="AK44" s="103"/>
      <c r="AL44" s="180" t="s">
        <v>171</v>
      </c>
      <c r="AM44" s="102"/>
      <c r="AN44" s="102"/>
      <c r="AO44" s="102"/>
      <c r="AP44" s="102"/>
      <c r="AQ44" s="103"/>
      <c r="AR44" s="180" t="s">
        <v>172</v>
      </c>
      <c r="AS44" s="102"/>
      <c r="AT44" s="102"/>
      <c r="AU44" s="102"/>
      <c r="AV44" s="102"/>
      <c r="AW44" s="102"/>
      <c r="AX44" s="198" t="s">
        <v>173</v>
      </c>
      <c r="AY44" s="216"/>
      <c r="AZ44" s="216"/>
      <c r="BA44" s="216"/>
      <c r="BB44" s="216"/>
      <c r="BC44" s="217"/>
      <c r="BD44" s="197" t="s">
        <v>39</v>
      </c>
      <c r="BE44" s="85"/>
      <c r="BF44" s="85"/>
      <c r="BG44" s="160"/>
      <c r="BH44" s="158" t="str">
        <f>IF(BD44="x","lolos","gagal")</f>
        <v>lolos</v>
      </c>
      <c r="BI44" s="85"/>
      <c r="BJ44" s="85"/>
      <c r="BK44" s="86"/>
      <c r="BL44" s="205" t="str">
        <f>+IF(BD44="x","-","x")</f>
        <v>-</v>
      </c>
      <c r="BM44" s="85"/>
      <c r="BN44" s="85"/>
      <c r="BO44" s="86"/>
      <c r="BP44" s="158" t="str">
        <f>IF(BL44="x","lolos","gagal")</f>
        <v>gagal</v>
      </c>
      <c r="BQ44" s="85"/>
      <c r="BR44" s="85"/>
      <c r="BS44" s="86"/>
      <c r="BW44" s="53"/>
      <c r="BX44" s="53"/>
      <c r="BY44" s="53"/>
      <c r="BZ44" s="48"/>
      <c r="CA44" s="48"/>
      <c r="CB44" s="48"/>
      <c r="CC44" s="48"/>
      <c r="CD44" s="48"/>
      <c r="CE44" s="48"/>
      <c r="CF44" s="48"/>
      <c r="CG44" s="48"/>
      <c r="CH44" s="48"/>
      <c r="CI44" s="48"/>
    </row>
    <row r="45" spans="1:87" ht="20" customHeight="1">
      <c r="A45" s="1"/>
      <c r="B45" s="77"/>
      <c r="C45" s="222" t="s">
        <v>174</v>
      </c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9"/>
      <c r="X45" s="77" t="s">
        <v>175</v>
      </c>
      <c r="Y45" s="21"/>
      <c r="Z45" s="21"/>
      <c r="AA45" s="21"/>
      <c r="AB45" s="21"/>
      <c r="AC45" s="21"/>
      <c r="AD45" s="21" t="s">
        <v>170</v>
      </c>
      <c r="AE45" s="28"/>
      <c r="AF45" s="21"/>
      <c r="AG45" s="213">
        <f>IF(OR(ISBLANK($AG$44),ISBLANK($BD$31)),"",$BD$31*$P$14)</f>
        <v>200000</v>
      </c>
      <c r="AH45" s="88"/>
      <c r="AI45" s="88"/>
      <c r="AJ45" s="88"/>
      <c r="AK45" s="89"/>
      <c r="AL45" s="214" t="s">
        <v>81</v>
      </c>
      <c r="AM45" s="88"/>
      <c r="AN45" s="88"/>
      <c r="AO45" s="215">
        <f>+IF(OR(ISBLANK($AG$44),ISBLANK($BD$31)),"",ABS($AG$44-$AG$45))</f>
        <v>40</v>
      </c>
      <c r="AP45" s="88"/>
      <c r="AQ45" s="89"/>
      <c r="AR45" s="78" t="s">
        <v>176</v>
      </c>
      <c r="AS45" s="79"/>
      <c r="AT45" s="79"/>
      <c r="AU45" s="206">
        <v>50</v>
      </c>
      <c r="AV45" s="117"/>
      <c r="AW45" s="118"/>
      <c r="AX45" s="218"/>
      <c r="AY45" s="219"/>
      <c r="AZ45" s="219"/>
      <c r="BA45" s="219"/>
      <c r="BB45" s="219"/>
      <c r="BC45" s="220"/>
      <c r="BD45" s="87"/>
      <c r="BE45" s="88"/>
      <c r="BF45" s="88"/>
      <c r="BG45" s="162"/>
      <c r="BH45" s="87"/>
      <c r="BI45" s="88"/>
      <c r="BJ45" s="88"/>
      <c r="BK45" s="89"/>
      <c r="BL45" s="87"/>
      <c r="BM45" s="88"/>
      <c r="BN45" s="88"/>
      <c r="BO45" s="89"/>
      <c r="BP45" s="87"/>
      <c r="BQ45" s="88"/>
      <c r="BR45" s="88"/>
      <c r="BS45" s="89"/>
      <c r="BZ45" s="48"/>
      <c r="CA45" s="48"/>
      <c r="CB45" s="48"/>
      <c r="CC45" s="48"/>
      <c r="CD45" s="48"/>
      <c r="CE45" s="48"/>
      <c r="CF45" s="48"/>
      <c r="CG45" s="48"/>
      <c r="CH45" s="48"/>
      <c r="CI45" s="48"/>
    </row>
    <row r="46" spans="1:87" ht="20" customHeight="1">
      <c r="A46" s="1"/>
      <c r="B46" s="58" t="s">
        <v>177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9"/>
      <c r="X46" s="227" t="s">
        <v>178</v>
      </c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9"/>
      <c r="BD46" s="203" t="s">
        <v>39</v>
      </c>
      <c r="BE46" s="102"/>
      <c r="BF46" s="102"/>
      <c r="BG46" s="153"/>
      <c r="BH46" s="177" t="str">
        <f t="shared" ref="BH46:BH48" si="3">IF(BD46="x","lolos","gagal")</f>
        <v>lolos</v>
      </c>
      <c r="BI46" s="102"/>
      <c r="BJ46" s="102"/>
      <c r="BK46" s="103"/>
      <c r="BL46" s="199" t="str">
        <f t="shared" ref="BL46:BL48" si="4">+IF(BD46="x","-","x")</f>
        <v>-</v>
      </c>
      <c r="BM46" s="102"/>
      <c r="BN46" s="102"/>
      <c r="BO46" s="103"/>
      <c r="BP46" s="177" t="str">
        <f t="shared" ref="BP46:BP48" si="5">IF(BL46="x","lolos","gagal")</f>
        <v>gagal</v>
      </c>
      <c r="BQ46" s="102"/>
      <c r="BR46" s="102"/>
      <c r="BS46" s="103"/>
      <c r="BZ46" s="48"/>
      <c r="CA46" s="48"/>
      <c r="CB46" s="48"/>
      <c r="CC46" s="48"/>
      <c r="CD46" s="48"/>
      <c r="CE46" s="48"/>
      <c r="CF46" s="48"/>
      <c r="CG46" s="48"/>
      <c r="CH46" s="48"/>
      <c r="CI46" s="48"/>
    </row>
    <row r="47" spans="1:87" ht="20" customHeight="1">
      <c r="A47" s="1"/>
      <c r="B47" s="224" t="s">
        <v>179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9"/>
      <c r="X47" s="58" t="s">
        <v>180</v>
      </c>
      <c r="Y47" s="57"/>
      <c r="Z47" s="57"/>
      <c r="AA47" s="57"/>
      <c r="AB47" s="57"/>
      <c r="AC47" s="57"/>
      <c r="AD47" s="171" t="s">
        <v>147</v>
      </c>
      <c r="AE47" s="102"/>
      <c r="AF47" s="102"/>
      <c r="AG47" s="102"/>
      <c r="AH47" s="153"/>
      <c r="AI47" s="57"/>
      <c r="AJ47" s="57" t="s">
        <v>162</v>
      </c>
      <c r="AK47" s="201">
        <v>0</v>
      </c>
      <c r="AL47" s="102"/>
      <c r="AM47" s="153"/>
      <c r="AN47" s="63" t="s">
        <v>94</v>
      </c>
      <c r="AO47" s="63"/>
      <c r="AP47" s="63"/>
      <c r="AQ47" s="63"/>
      <c r="AR47" s="64" t="s">
        <v>181</v>
      </c>
      <c r="AS47" s="63"/>
      <c r="AT47" s="57"/>
      <c r="AU47" s="57"/>
      <c r="AV47" s="179" t="str">
        <f>IF(OR(ISBLANK(AK47),ISBLANK(AD47),AD47="(digital)"),"","±")</f>
        <v/>
      </c>
      <c r="AW47" s="102"/>
      <c r="AX47" s="179">
        <f>IF(OR(ISBLANK($AK$47),ISBLANK($AD$47),ISBLANK(Data!$AU$20)),"",IF(Cerapan!$AD$47="(digital)",0,(Data!$AU$20*0.5/100)*1000))</f>
        <v>0</v>
      </c>
      <c r="AY47" s="102"/>
      <c r="AZ47" s="102"/>
      <c r="BA47" s="102"/>
      <c r="BB47" s="57" t="s">
        <v>94</v>
      </c>
      <c r="BC47" s="59"/>
      <c r="BD47" s="203" t="s">
        <v>39</v>
      </c>
      <c r="BE47" s="102"/>
      <c r="BF47" s="102"/>
      <c r="BG47" s="153"/>
      <c r="BH47" s="177" t="str">
        <f t="shared" si="3"/>
        <v>lolos</v>
      </c>
      <c r="BI47" s="102"/>
      <c r="BJ47" s="102"/>
      <c r="BK47" s="103"/>
      <c r="BL47" s="199" t="str">
        <f t="shared" si="4"/>
        <v>-</v>
      </c>
      <c r="BM47" s="102"/>
      <c r="BN47" s="102"/>
      <c r="BO47" s="103"/>
      <c r="BP47" s="177" t="str">
        <f t="shared" si="5"/>
        <v>gagal</v>
      </c>
      <c r="BQ47" s="102"/>
      <c r="BR47" s="102"/>
      <c r="BS47" s="103"/>
      <c r="BZ47" s="48"/>
      <c r="CA47" s="48"/>
      <c r="CB47" s="48"/>
      <c r="CC47" s="48"/>
      <c r="CD47" s="48"/>
      <c r="CE47" s="48"/>
      <c r="CF47" s="48"/>
      <c r="CG47" s="48"/>
      <c r="CH47" s="48"/>
      <c r="CI47" s="48"/>
    </row>
    <row r="48" spans="1:87" ht="20" customHeight="1">
      <c r="A48" s="1"/>
      <c r="B48" s="190" t="s">
        <v>182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6"/>
      <c r="Q48" s="58"/>
      <c r="R48" s="226" t="s">
        <v>183</v>
      </c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9"/>
      <c r="BD48" s="197" t="s">
        <v>39</v>
      </c>
      <c r="BE48" s="85"/>
      <c r="BF48" s="85"/>
      <c r="BG48" s="160"/>
      <c r="BH48" s="158" t="str">
        <f t="shared" si="3"/>
        <v>lolos</v>
      </c>
      <c r="BI48" s="85"/>
      <c r="BJ48" s="85"/>
      <c r="BK48" s="86"/>
      <c r="BL48" s="205" t="str">
        <f t="shared" si="4"/>
        <v>-</v>
      </c>
      <c r="BM48" s="85"/>
      <c r="BN48" s="85"/>
      <c r="BO48" s="86"/>
      <c r="BP48" s="158" t="str">
        <f t="shared" si="5"/>
        <v>gagal</v>
      </c>
      <c r="BQ48" s="85"/>
      <c r="BR48" s="85"/>
      <c r="BS48" s="86"/>
      <c r="BZ48" s="48"/>
      <c r="CA48" s="48"/>
      <c r="CB48" s="48"/>
      <c r="CC48" s="48"/>
      <c r="CD48" s="48"/>
      <c r="CE48" s="48"/>
      <c r="CF48" s="48"/>
      <c r="CG48" s="48"/>
      <c r="CH48" s="48"/>
      <c r="CI48" s="48"/>
    </row>
    <row r="49" spans="1:87" ht="20" customHeight="1">
      <c r="A49" s="1"/>
      <c r="B49" s="90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91"/>
      <c r="Q49" s="223" t="s">
        <v>184</v>
      </c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91"/>
      <c r="BD49" s="90"/>
      <c r="BE49" s="83"/>
      <c r="BF49" s="83"/>
      <c r="BG49" s="204"/>
      <c r="BH49" s="90"/>
      <c r="BI49" s="83"/>
      <c r="BJ49" s="83"/>
      <c r="BK49" s="91"/>
      <c r="BL49" s="90"/>
      <c r="BM49" s="83"/>
      <c r="BN49" s="83"/>
      <c r="BO49" s="91"/>
      <c r="BP49" s="90"/>
      <c r="BQ49" s="83"/>
      <c r="BR49" s="83"/>
      <c r="BS49" s="91"/>
      <c r="BZ49" s="48"/>
      <c r="CA49" s="48"/>
      <c r="CB49" s="48"/>
      <c r="CC49" s="48"/>
      <c r="CD49" s="48"/>
      <c r="CE49" s="48"/>
      <c r="CF49" s="48"/>
      <c r="CG49" s="48"/>
      <c r="CH49" s="48"/>
      <c r="CI49" s="48"/>
    </row>
    <row r="50" spans="1:87" ht="20" customHeight="1">
      <c r="A50" s="1"/>
      <c r="B50" s="8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9"/>
      <c r="Q50" s="87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9"/>
      <c r="BD50" s="87"/>
      <c r="BE50" s="88"/>
      <c r="BF50" s="88"/>
      <c r="BG50" s="162"/>
      <c r="BH50" s="87"/>
      <c r="BI50" s="88"/>
      <c r="BJ50" s="88"/>
      <c r="BK50" s="89"/>
      <c r="BL50" s="87"/>
      <c r="BM50" s="88"/>
      <c r="BN50" s="88"/>
      <c r="BO50" s="89"/>
      <c r="BP50" s="87"/>
      <c r="BQ50" s="88"/>
      <c r="BR50" s="88"/>
      <c r="BS50" s="89"/>
      <c r="BZ50" s="48"/>
      <c r="CA50" s="48"/>
      <c r="CB50" s="48"/>
      <c r="CC50" s="48"/>
      <c r="CD50" s="48"/>
      <c r="CE50" s="48"/>
      <c r="CF50" s="48"/>
      <c r="CG50" s="48"/>
      <c r="CH50" s="48"/>
      <c r="CI50" s="48"/>
    </row>
    <row r="51" spans="1:87" ht="20" customHeight="1">
      <c r="A51" s="1"/>
      <c r="B51" s="190" t="s">
        <v>185</v>
      </c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6"/>
      <c r="Q51" s="124" t="s">
        <v>39</v>
      </c>
      <c r="R51" s="102"/>
      <c r="S51" s="102"/>
      <c r="T51" s="103"/>
      <c r="U51" s="170" t="s">
        <v>186</v>
      </c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3"/>
      <c r="AK51" s="124" t="s">
        <v>10</v>
      </c>
      <c r="AL51" s="102"/>
      <c r="AM51" s="102"/>
      <c r="AN51" s="103"/>
      <c r="AO51" s="207" t="s">
        <v>187</v>
      </c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3"/>
      <c r="BD51" s="197" t="s">
        <v>39</v>
      </c>
      <c r="BE51" s="85"/>
      <c r="BF51" s="85"/>
      <c r="BG51" s="160"/>
      <c r="BH51" s="158" t="str">
        <f>IF(BD51="x","lolos","gagal")</f>
        <v>lolos</v>
      </c>
      <c r="BI51" s="85"/>
      <c r="BJ51" s="85"/>
      <c r="BK51" s="86"/>
      <c r="BL51" s="205" t="str">
        <f>+IF(BD51="x","-","x")</f>
        <v>-</v>
      </c>
      <c r="BM51" s="85"/>
      <c r="BN51" s="85"/>
      <c r="BO51" s="86"/>
      <c r="BP51" s="158" t="str">
        <f>IF(BL51="x","lolos","gagal")</f>
        <v>gagal</v>
      </c>
      <c r="BQ51" s="85"/>
      <c r="BR51" s="85"/>
      <c r="BS51" s="86"/>
      <c r="BZ51" s="48"/>
      <c r="CA51" s="48"/>
      <c r="CB51" s="48"/>
      <c r="CC51" s="48"/>
      <c r="CD51" s="48"/>
      <c r="CE51" s="48"/>
      <c r="CF51" s="48"/>
      <c r="CG51" s="48"/>
      <c r="CH51" s="48"/>
      <c r="CI51" s="48"/>
    </row>
    <row r="52" spans="1:87" ht="20" customHeight="1">
      <c r="A52" s="1"/>
      <c r="B52" s="8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9"/>
      <c r="Q52" s="177" t="s">
        <v>188</v>
      </c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3"/>
      <c r="BD52" s="87"/>
      <c r="BE52" s="88"/>
      <c r="BF52" s="88"/>
      <c r="BG52" s="162"/>
      <c r="BH52" s="87"/>
      <c r="BI52" s="88"/>
      <c r="BJ52" s="88"/>
      <c r="BK52" s="89"/>
      <c r="BL52" s="87"/>
      <c r="BM52" s="88"/>
      <c r="BN52" s="88"/>
      <c r="BO52" s="89"/>
      <c r="BP52" s="87"/>
      <c r="BQ52" s="88"/>
      <c r="BR52" s="88"/>
      <c r="BS52" s="89"/>
      <c r="BZ52" s="48"/>
      <c r="CA52" s="48"/>
      <c r="CB52" s="48"/>
      <c r="CC52" s="48"/>
      <c r="CD52" s="48"/>
      <c r="CE52" s="48"/>
      <c r="CF52" s="48"/>
      <c r="CG52" s="48"/>
      <c r="CH52" s="48"/>
      <c r="CI52" s="48"/>
    </row>
    <row r="53" spans="1:87" ht="20" customHeight="1">
      <c r="A53" s="1"/>
      <c r="B53" s="58" t="s">
        <v>189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9"/>
      <c r="Q53" s="177" t="s">
        <v>190</v>
      </c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3"/>
      <c r="BD53" s="203" t="s">
        <v>39</v>
      </c>
      <c r="BE53" s="102"/>
      <c r="BF53" s="102"/>
      <c r="BG53" s="153"/>
      <c r="BH53" s="177" t="str">
        <f>IF(BD53="x","lolos","gagal")</f>
        <v>lolos</v>
      </c>
      <c r="BI53" s="102"/>
      <c r="BJ53" s="102"/>
      <c r="BK53" s="103"/>
      <c r="BL53" s="199" t="str">
        <f>+IF(BD53="x","-","x")</f>
        <v>-</v>
      </c>
      <c r="BM53" s="102"/>
      <c r="BN53" s="102"/>
      <c r="BO53" s="103"/>
      <c r="BP53" s="177" t="str">
        <f>IF(BL53="x","lolos","gagal")</f>
        <v>gagal</v>
      </c>
      <c r="BQ53" s="102"/>
      <c r="BR53" s="102"/>
      <c r="BS53" s="103"/>
      <c r="BZ53" s="48"/>
      <c r="CA53" s="48"/>
      <c r="CB53" s="48"/>
      <c r="CC53" s="48"/>
      <c r="CD53" s="48"/>
      <c r="CE53" s="48"/>
      <c r="CF53" s="48"/>
      <c r="CG53" s="48"/>
      <c r="CH53" s="48"/>
      <c r="CI53" s="48"/>
    </row>
    <row r="54" spans="1:87" ht="20" customHeight="1">
      <c r="A54" s="1"/>
      <c r="B54" s="186" t="s">
        <v>191</v>
      </c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3"/>
      <c r="BZ54" s="48"/>
      <c r="CA54" s="48"/>
      <c r="CB54" s="48"/>
      <c r="CC54" s="48"/>
      <c r="CD54" s="48"/>
      <c r="CE54" s="48"/>
      <c r="CF54" s="48"/>
      <c r="CG54" s="48"/>
      <c r="CH54" s="48"/>
      <c r="CI54" s="48"/>
    </row>
    <row r="55" spans="1:87" ht="20" customHeight="1">
      <c r="A55" s="1"/>
      <c r="B55" s="60"/>
      <c r="C55" s="41" t="s">
        <v>10</v>
      </c>
      <c r="D55" s="41" t="s">
        <v>192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 t="s">
        <v>16</v>
      </c>
      <c r="T55" s="13"/>
      <c r="U55" s="193" t="s">
        <v>193</v>
      </c>
      <c r="V55" s="85"/>
      <c r="W55" s="129">
        <v>0.5</v>
      </c>
      <c r="X55" s="85"/>
      <c r="Y55" s="85"/>
      <c r="Z55" s="72" t="s">
        <v>140</v>
      </c>
      <c r="AA55" s="72"/>
      <c r="AB55" s="72"/>
      <c r="AC55" s="76"/>
      <c r="AD55" s="75"/>
      <c r="AE55" s="72"/>
      <c r="AF55" s="72"/>
      <c r="AG55" s="72" t="s">
        <v>10</v>
      </c>
      <c r="AH55" s="71" t="s">
        <v>194</v>
      </c>
      <c r="AI55" s="72"/>
      <c r="AJ55" s="72"/>
      <c r="AK55" s="72"/>
      <c r="AL55" s="73"/>
      <c r="AM55" s="73"/>
      <c r="AN55" s="73"/>
      <c r="AO55" s="73"/>
      <c r="AP55" s="73"/>
      <c r="AQ55" s="73"/>
      <c r="AR55" s="73"/>
      <c r="AS55" s="73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6"/>
      <c r="BZ55" s="48"/>
      <c r="CA55" s="48"/>
      <c r="CB55" s="48"/>
      <c r="CC55" s="48"/>
      <c r="CD55" s="48"/>
      <c r="CE55" s="48"/>
      <c r="CF55" s="48"/>
      <c r="CG55" s="48"/>
      <c r="CH55" s="48"/>
      <c r="CI55" s="48"/>
    </row>
    <row r="56" spans="1:87" ht="20" customHeight="1">
      <c r="A56" s="1"/>
      <c r="B56" s="60"/>
      <c r="C56" s="41" t="s">
        <v>10</v>
      </c>
      <c r="D56" s="41" t="s">
        <v>195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 t="s">
        <v>16</v>
      </c>
      <c r="T56" s="13"/>
      <c r="U56" s="9"/>
      <c r="V56" s="9"/>
      <c r="W56" s="130">
        <v>0.1</v>
      </c>
      <c r="X56" s="83"/>
      <c r="Y56" s="83"/>
      <c r="Z56" s="13" t="s">
        <v>140</v>
      </c>
      <c r="AA56" s="13"/>
      <c r="AB56" s="13"/>
      <c r="AC56" s="62"/>
      <c r="AD56" s="60"/>
      <c r="AE56" s="13"/>
      <c r="AF56" s="13"/>
      <c r="AG56" s="186" t="s">
        <v>196</v>
      </c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3"/>
      <c r="AT56" s="186" t="s">
        <v>197</v>
      </c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3"/>
      <c r="BG56" s="186" t="s">
        <v>198</v>
      </c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3"/>
      <c r="BZ56" s="48"/>
      <c r="CA56" s="48"/>
      <c r="CB56" s="48"/>
      <c r="CC56" s="48"/>
      <c r="CD56" s="48"/>
      <c r="CE56" s="48"/>
      <c r="CF56" s="48"/>
      <c r="CG56" s="48"/>
      <c r="CH56" s="48"/>
      <c r="CI56" s="48"/>
    </row>
    <row r="57" spans="1:87" ht="20" customHeight="1">
      <c r="A57" s="1"/>
      <c r="B57" s="60"/>
      <c r="C57" s="41" t="s">
        <v>10</v>
      </c>
      <c r="D57" s="41" t="s">
        <v>199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 t="s">
        <v>16</v>
      </c>
      <c r="T57" s="13"/>
      <c r="U57" s="194" t="s">
        <v>193</v>
      </c>
      <c r="V57" s="83"/>
      <c r="W57" s="130">
        <v>0.5</v>
      </c>
      <c r="X57" s="83"/>
      <c r="Y57" s="83"/>
      <c r="Z57" s="13" t="s">
        <v>140</v>
      </c>
      <c r="AA57" s="13"/>
      <c r="AB57" s="13"/>
      <c r="AC57" s="62"/>
      <c r="AD57" s="60"/>
      <c r="AE57" s="13"/>
      <c r="AF57" s="13"/>
      <c r="AG57" s="58"/>
      <c r="AH57" s="57"/>
      <c r="AI57" s="57"/>
      <c r="AJ57" s="57"/>
      <c r="AK57" s="57"/>
      <c r="AL57" s="202">
        <v>2</v>
      </c>
      <c r="AM57" s="102"/>
      <c r="AN57" s="102"/>
      <c r="AO57" s="57" t="s">
        <v>87</v>
      </c>
      <c r="AP57" s="57"/>
      <c r="AQ57" s="57"/>
      <c r="AR57" s="57"/>
      <c r="AS57" s="59"/>
      <c r="AT57" s="58"/>
      <c r="AU57" s="57"/>
      <c r="AV57" s="57"/>
      <c r="AW57" s="57"/>
      <c r="AX57" s="121">
        <v>20</v>
      </c>
      <c r="AY57" s="102"/>
      <c r="AZ57" s="102"/>
      <c r="BA57" s="57" t="s">
        <v>94</v>
      </c>
      <c r="BB57" s="57"/>
      <c r="BC57" s="57"/>
      <c r="BD57" s="57"/>
      <c r="BE57" s="57"/>
      <c r="BF57" s="59"/>
      <c r="BG57" s="58"/>
      <c r="BH57" s="57"/>
      <c r="BI57" s="57"/>
      <c r="BJ57" s="57"/>
      <c r="BK57" s="121">
        <v>40</v>
      </c>
      <c r="BL57" s="102"/>
      <c r="BM57" s="102"/>
      <c r="BN57" s="57" t="s">
        <v>94</v>
      </c>
      <c r="BO57" s="57"/>
      <c r="BP57" s="57"/>
      <c r="BQ57" s="57"/>
      <c r="BR57" s="57"/>
      <c r="BS57" s="59"/>
      <c r="BZ57" s="48"/>
      <c r="CA57" s="48"/>
      <c r="CB57" s="48"/>
      <c r="CC57" s="48"/>
      <c r="CD57" s="48"/>
      <c r="CE57" s="48"/>
      <c r="CF57" s="48"/>
      <c r="CG57" s="48"/>
      <c r="CH57" s="48"/>
      <c r="CI57" s="48"/>
    </row>
    <row r="58" spans="1:87" ht="20" customHeight="1">
      <c r="A58" s="1"/>
      <c r="B58" s="60"/>
      <c r="C58" s="41" t="s">
        <v>10</v>
      </c>
      <c r="D58" s="41" t="s">
        <v>200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 t="s">
        <v>16</v>
      </c>
      <c r="T58" s="13"/>
      <c r="U58" s="195" t="s">
        <v>201</v>
      </c>
      <c r="V58" s="88"/>
      <c r="W58" s="187">
        <v>5</v>
      </c>
      <c r="X58" s="88"/>
      <c r="Y58" s="88"/>
      <c r="Z58" s="21"/>
      <c r="AA58" s="21"/>
      <c r="AB58" s="21"/>
      <c r="AC58" s="80"/>
      <c r="AD58" s="77"/>
      <c r="AE58" s="21"/>
      <c r="AF58" s="21"/>
      <c r="AG58" s="77"/>
      <c r="AH58" s="21"/>
      <c r="AI58" s="21"/>
      <c r="AJ58" s="21"/>
      <c r="AK58" s="21"/>
      <c r="AL58" s="202">
        <v>2</v>
      </c>
      <c r="AM58" s="102"/>
      <c r="AN58" s="102"/>
      <c r="AO58" s="21" t="s">
        <v>87</v>
      </c>
      <c r="AP58" s="21"/>
      <c r="AQ58" s="21"/>
      <c r="AR58" s="21"/>
      <c r="AS58" s="80"/>
      <c r="AT58" s="77"/>
      <c r="AU58" s="21"/>
      <c r="AV58" s="21"/>
      <c r="AW58" s="21"/>
      <c r="AX58" s="121">
        <v>50</v>
      </c>
      <c r="AY58" s="102"/>
      <c r="AZ58" s="102"/>
      <c r="BA58" s="21" t="s">
        <v>94</v>
      </c>
      <c r="BB58" s="21"/>
      <c r="BC58" s="21"/>
      <c r="BD58" s="21"/>
      <c r="BE58" s="21"/>
      <c r="BF58" s="80"/>
      <c r="BG58" s="77"/>
      <c r="BH58" s="21"/>
      <c r="BI58" s="21"/>
      <c r="BJ58" s="21"/>
      <c r="BK58" s="121">
        <v>100</v>
      </c>
      <c r="BL58" s="102"/>
      <c r="BM58" s="102"/>
      <c r="BN58" s="21" t="s">
        <v>94</v>
      </c>
      <c r="BO58" s="21"/>
      <c r="BP58" s="21"/>
      <c r="BQ58" s="21"/>
      <c r="BR58" s="21"/>
      <c r="BS58" s="80"/>
      <c r="BZ58" s="48"/>
      <c r="CA58" s="48"/>
      <c r="CB58" s="48"/>
      <c r="CC58" s="48"/>
      <c r="CD58" s="48"/>
      <c r="CE58" s="48"/>
      <c r="CF58" s="48"/>
      <c r="CG58" s="48"/>
      <c r="CH58" s="48"/>
      <c r="CI58" s="48"/>
    </row>
    <row r="59" spans="1:87" ht="20" customHeight="1">
      <c r="A59" s="1"/>
      <c r="B59" s="186" t="s">
        <v>202</v>
      </c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3"/>
      <c r="BZ59" s="48"/>
      <c r="CA59" s="48"/>
      <c r="CB59" s="48"/>
      <c r="CC59" s="48"/>
      <c r="CD59" s="48"/>
      <c r="CE59" s="48"/>
      <c r="CF59" s="48"/>
      <c r="CG59" s="48"/>
      <c r="CH59" s="48"/>
      <c r="CI59" s="48"/>
    </row>
    <row r="60" spans="1:87" ht="20" customHeight="1">
      <c r="A60" s="1"/>
      <c r="B60" s="60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75"/>
      <c r="AE60" s="72"/>
      <c r="AF60" s="13"/>
      <c r="AG60" s="13"/>
      <c r="AH60" s="13"/>
      <c r="AI60" s="13"/>
      <c r="AJ60" s="13"/>
      <c r="AK60" s="13"/>
      <c r="AL60" s="16"/>
      <c r="AM60" s="16"/>
      <c r="AN60" s="16"/>
      <c r="AO60" s="16"/>
      <c r="AP60" s="16"/>
      <c r="AQ60" s="16"/>
      <c r="AR60" s="16"/>
      <c r="AS60" s="16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62"/>
      <c r="BZ60" s="48"/>
      <c r="CA60" s="48"/>
      <c r="CB60" s="48"/>
      <c r="CC60" s="48"/>
      <c r="CD60" s="48"/>
      <c r="CE60" s="48"/>
      <c r="CF60" s="48"/>
      <c r="CG60" s="48"/>
      <c r="CH60" s="48"/>
      <c r="CI60" s="48"/>
    </row>
    <row r="61" spans="1:87" ht="20" customHeight="1">
      <c r="A61" s="1"/>
      <c r="B61" s="60"/>
      <c r="C61" s="41" t="s">
        <v>203</v>
      </c>
      <c r="D61" s="13"/>
      <c r="E61" s="13"/>
      <c r="F61" s="13"/>
      <c r="G61" s="13"/>
      <c r="H61" s="41" t="s">
        <v>16</v>
      </c>
      <c r="I61" s="1"/>
      <c r="J61" s="192" t="str">
        <f>IF(AND(Data!$BC$7="-",Data!$BC$8="-"),"",IF(AND(Cerapan!$CA$37="SAH",Cerapan!$BD$40="x",Cerapan!$BD$41="x",Cerapan!$BD$42="x",Cerapan!$BD$44="x",Cerapan!$BD$46="x",Cerapan!$BD$47="x",Cerapan!$BD$48="x",Cerapan!$BD$51="x",Cerapan!$BD$53="x",Cerapan!$BL$51="x"),"",IF(AND(Cerapan!$CA$37="SAH",Cerapan!$BD$40="x",Cerapan!$BD$41="x",Cerapan!$BD$42="x",Cerapan!$BD$44="x",Cerapan!$BD$46="x",Cerapan!$BD$47="x",Cerapan!$BD$48="x",Cerapan!$BD$51="x",Cerapan!$BD$53="x"),"✓","")))</f>
        <v>✓</v>
      </c>
      <c r="K61" s="102"/>
      <c r="L61" s="102"/>
      <c r="M61" s="103"/>
      <c r="N61" s="13"/>
      <c r="O61" s="41" t="s">
        <v>204</v>
      </c>
      <c r="P61" s="13"/>
      <c r="Q61" s="13"/>
      <c r="R61" s="13"/>
      <c r="S61" s="1"/>
      <c r="T61" s="192" t="str">
        <f>IF(AND(Data!$BC$7="-",Data!$BC$8="-"),"",IF(OR($CA$37="BATAL",$BL$40="x",$BL$41="x",$BL$42="x",$BL$44="x",$BL$46="x",$BL$47="x",$BL$48="x",$BL$51="x",$BL$53="x",),"✓",""))</f>
        <v/>
      </c>
      <c r="U61" s="102"/>
      <c r="V61" s="102"/>
      <c r="W61" s="103"/>
      <c r="X61" s="1"/>
      <c r="Y61" s="41" t="s">
        <v>205</v>
      </c>
      <c r="Z61" s="13"/>
      <c r="AA61" s="13"/>
      <c r="AB61" s="13"/>
      <c r="AC61" s="13"/>
      <c r="AD61" s="81"/>
      <c r="AE61" s="41" t="s">
        <v>206</v>
      </c>
      <c r="AF61" s="13"/>
      <c r="AG61" s="13"/>
      <c r="AH61" s="13"/>
      <c r="AI61" s="13"/>
      <c r="AJ61" s="13"/>
      <c r="AK61" s="13"/>
      <c r="AL61" s="16"/>
      <c r="AM61" s="200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115"/>
      <c r="BS61" s="62"/>
      <c r="BZ61" s="48"/>
      <c r="CA61" s="48"/>
      <c r="CB61" s="48"/>
      <c r="CC61" s="48"/>
      <c r="CD61" s="48"/>
      <c r="CE61" s="48"/>
      <c r="CF61" s="48"/>
      <c r="CG61" s="48"/>
      <c r="CH61" s="48"/>
      <c r="CI61" s="48"/>
    </row>
    <row r="62" spans="1:87" ht="20" customHeight="1">
      <c r="A62" s="1"/>
      <c r="B62" s="60"/>
      <c r="C62" s="13"/>
      <c r="D62" s="13"/>
      <c r="E62" s="13"/>
      <c r="F62" s="13"/>
      <c r="G62" s="13"/>
      <c r="H62" s="41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60"/>
      <c r="AE62" s="13"/>
      <c r="AF62" s="13"/>
      <c r="AG62" s="13"/>
      <c r="AH62" s="13"/>
      <c r="AI62" s="13"/>
      <c r="AJ62" s="13"/>
      <c r="AK62" s="13"/>
      <c r="AL62" s="16"/>
      <c r="AM62" s="16"/>
      <c r="AN62" s="16"/>
      <c r="AO62" s="16"/>
      <c r="AP62" s="16"/>
      <c r="AQ62" s="16"/>
      <c r="AR62" s="16"/>
      <c r="AS62" s="16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62"/>
      <c r="BZ62" s="48"/>
      <c r="CA62" s="48"/>
      <c r="CB62" s="48"/>
      <c r="CC62" s="48"/>
      <c r="CD62" s="48"/>
      <c r="CE62" s="48"/>
      <c r="CF62" s="48"/>
      <c r="CG62" s="48"/>
      <c r="CH62" s="48"/>
      <c r="CI62" s="48"/>
    </row>
    <row r="63" spans="1:87" ht="20" customHeight="1">
      <c r="A63" s="1"/>
      <c r="B63" s="75"/>
      <c r="C63" s="196" t="s">
        <v>72</v>
      </c>
      <c r="D63" s="85"/>
      <c r="E63" s="85"/>
      <c r="F63" s="85"/>
      <c r="G63" s="85"/>
      <c r="H63" s="129" t="s">
        <v>16</v>
      </c>
      <c r="I63" s="72"/>
      <c r="J63" s="188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7"/>
      <c r="BS63" s="76"/>
      <c r="BZ63" s="48"/>
      <c r="CA63" s="48"/>
      <c r="CB63" s="48"/>
      <c r="CC63" s="48"/>
      <c r="CD63" s="48"/>
      <c r="CE63" s="48"/>
      <c r="CF63" s="48"/>
      <c r="CG63" s="48"/>
      <c r="CH63" s="48"/>
      <c r="CI63" s="48"/>
    </row>
    <row r="64" spans="1:87" ht="20" customHeight="1">
      <c r="A64" s="1"/>
      <c r="B64" s="20"/>
      <c r="C64" s="88"/>
      <c r="D64" s="88"/>
      <c r="E64" s="88"/>
      <c r="F64" s="88"/>
      <c r="G64" s="88"/>
      <c r="H64" s="88"/>
      <c r="I64" s="28"/>
      <c r="J64" s="18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8"/>
      <c r="BS64" s="29"/>
      <c r="BZ64" s="48"/>
      <c r="CA64" s="48"/>
      <c r="CB64" s="48"/>
      <c r="CC64" s="48"/>
      <c r="CD64" s="48"/>
      <c r="CE64" s="48"/>
      <c r="CF64" s="48"/>
      <c r="CG64" s="48"/>
      <c r="CH64" s="48"/>
      <c r="CI64" s="48"/>
    </row>
    <row r="65" spans="1:87" ht="2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"/>
      <c r="AM65" s="2"/>
      <c r="AN65" s="2"/>
      <c r="AO65" s="2"/>
      <c r="AP65" s="2"/>
      <c r="AQ65" s="2"/>
      <c r="AR65" s="2"/>
      <c r="AS65" s="2"/>
      <c r="BZ65" s="48"/>
      <c r="CA65" s="48"/>
      <c r="CB65" s="48"/>
      <c r="CC65" s="48"/>
      <c r="CD65" s="48"/>
      <c r="CE65" s="48"/>
      <c r="CF65" s="48"/>
      <c r="CG65" s="48"/>
      <c r="CH65" s="48"/>
      <c r="CI65" s="48"/>
    </row>
    <row r="66" spans="1:87" ht="2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"/>
      <c r="AM66" s="2"/>
      <c r="AN66" s="2"/>
      <c r="AO66" s="2"/>
      <c r="AP66" s="2"/>
      <c r="AQ66" s="2"/>
      <c r="AR66" s="2"/>
      <c r="AS66" s="2"/>
      <c r="BZ66" s="48"/>
      <c r="CA66" s="48"/>
      <c r="CB66" s="48"/>
      <c r="CC66" s="48"/>
      <c r="CD66" s="48"/>
      <c r="CE66" s="48"/>
      <c r="CF66" s="48"/>
      <c r="CG66" s="48"/>
      <c r="CH66" s="48"/>
      <c r="CI66" s="48"/>
    </row>
    <row r="67" spans="1:87" ht="2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"/>
      <c r="AM67" s="2"/>
      <c r="AN67" s="2"/>
      <c r="AO67" s="2"/>
      <c r="AP67" s="2"/>
      <c r="AQ67" s="2"/>
      <c r="AR67" s="2"/>
      <c r="AS67" s="2"/>
      <c r="BZ67" s="48"/>
      <c r="CA67" s="48"/>
      <c r="CB67" s="48"/>
      <c r="CC67" s="48"/>
      <c r="CD67" s="48"/>
      <c r="CE67" s="48"/>
      <c r="CF67" s="48"/>
      <c r="CG67" s="48"/>
      <c r="CH67" s="48"/>
      <c r="CI67" s="48"/>
    </row>
    <row r="68" spans="1:87" ht="2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2"/>
      <c r="AM68" s="2"/>
      <c r="AN68" s="2"/>
      <c r="AO68" s="2"/>
      <c r="AP68" s="2"/>
      <c r="AQ68" s="2"/>
      <c r="AR68" s="2"/>
      <c r="AS68" s="2"/>
      <c r="BZ68" s="48"/>
      <c r="CA68" s="48"/>
      <c r="CB68" s="48"/>
      <c r="CC68" s="48"/>
      <c r="CD68" s="48"/>
      <c r="CE68" s="48"/>
      <c r="CF68" s="48"/>
      <c r="CG68" s="48"/>
      <c r="CH68" s="48"/>
      <c r="CI68" s="48"/>
    </row>
    <row r="69" spans="1:87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"/>
      <c r="AM69" s="2"/>
      <c r="AN69" s="2"/>
      <c r="AO69" s="2"/>
      <c r="AP69" s="2"/>
      <c r="AQ69" s="2"/>
      <c r="AR69" s="2"/>
      <c r="AS69" s="2"/>
      <c r="BZ69" s="48"/>
      <c r="CA69" s="48"/>
      <c r="CB69" s="48"/>
      <c r="CC69" s="48"/>
      <c r="CD69" s="48"/>
      <c r="CE69" s="48"/>
      <c r="CF69" s="48"/>
      <c r="CG69" s="48"/>
      <c r="CH69" s="48"/>
      <c r="CI69" s="48"/>
    </row>
    <row r="70" spans="1:87" ht="2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"/>
      <c r="AM70" s="2"/>
      <c r="AN70" s="2"/>
      <c r="AO70" s="2"/>
      <c r="AP70" s="2"/>
      <c r="AQ70" s="2"/>
      <c r="AR70" s="2"/>
      <c r="AS70" s="2"/>
      <c r="BZ70" s="48"/>
      <c r="CA70" s="48"/>
      <c r="CB70" s="48"/>
      <c r="CC70" s="48"/>
      <c r="CD70" s="48"/>
      <c r="CE70" s="48"/>
      <c r="CF70" s="48"/>
      <c r="CG70" s="48"/>
      <c r="CH70" s="48"/>
      <c r="CI70" s="48"/>
    </row>
    <row r="71" spans="1:87" ht="2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2"/>
      <c r="AM71" s="2"/>
      <c r="AN71" s="2"/>
      <c r="AO71" s="2"/>
      <c r="AP71" s="2"/>
      <c r="AQ71" s="2"/>
      <c r="AR71" s="2"/>
      <c r="AS71" s="2"/>
      <c r="BZ71" s="48"/>
      <c r="CA71" s="48"/>
      <c r="CB71" s="48"/>
      <c r="CC71" s="48"/>
      <c r="CD71" s="48"/>
      <c r="CE71" s="48"/>
      <c r="CF71" s="48"/>
      <c r="CG71" s="48"/>
      <c r="CH71" s="48"/>
      <c r="CI71" s="48"/>
    </row>
    <row r="72" spans="1:87" ht="2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2"/>
      <c r="AM72" s="2"/>
      <c r="AN72" s="2"/>
      <c r="AO72" s="2"/>
      <c r="AP72" s="2"/>
      <c r="AQ72" s="2"/>
      <c r="AR72" s="2"/>
      <c r="AS72" s="2"/>
      <c r="BZ72" s="48"/>
      <c r="CA72" s="48"/>
      <c r="CB72" s="48"/>
      <c r="CC72" s="48"/>
      <c r="CD72" s="48"/>
      <c r="CE72" s="48"/>
      <c r="CF72" s="48"/>
      <c r="CG72" s="48"/>
      <c r="CH72" s="48"/>
      <c r="CI72" s="48"/>
    </row>
    <row r="73" spans="1:87" ht="2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2"/>
      <c r="AM73" s="2"/>
      <c r="AN73" s="2"/>
      <c r="AO73" s="2"/>
      <c r="AP73" s="2"/>
      <c r="AQ73" s="2"/>
      <c r="AR73" s="2"/>
      <c r="AS73" s="2"/>
      <c r="BZ73" s="48"/>
      <c r="CA73" s="48"/>
      <c r="CB73" s="48"/>
      <c r="CC73" s="48"/>
      <c r="CD73" s="48"/>
      <c r="CE73" s="48"/>
      <c r="CF73" s="48"/>
      <c r="CG73" s="48"/>
      <c r="CH73" s="48"/>
      <c r="CI73" s="48"/>
    </row>
    <row r="74" spans="1:87" ht="2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2"/>
      <c r="AM74" s="2"/>
      <c r="AN74" s="2"/>
      <c r="AO74" s="2"/>
      <c r="AP74" s="2"/>
      <c r="AQ74" s="2"/>
      <c r="AR74" s="2"/>
      <c r="AS74" s="2"/>
      <c r="BZ74" s="48"/>
      <c r="CA74" s="48"/>
      <c r="CB74" s="48"/>
      <c r="CC74" s="48"/>
      <c r="CD74" s="48"/>
      <c r="CE74" s="48"/>
      <c r="CF74" s="48"/>
      <c r="CG74" s="48"/>
      <c r="CH74" s="48"/>
      <c r="CI74" s="48"/>
    </row>
    <row r="75" spans="1:87" ht="2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2"/>
      <c r="AM75" s="2"/>
      <c r="AN75" s="2"/>
      <c r="AO75" s="2"/>
      <c r="AP75" s="2"/>
      <c r="AQ75" s="2"/>
      <c r="AR75" s="2"/>
      <c r="AS75" s="2"/>
      <c r="BZ75" s="48"/>
      <c r="CA75" s="48"/>
      <c r="CB75" s="48"/>
      <c r="CC75" s="48"/>
      <c r="CD75" s="48"/>
      <c r="CE75" s="48"/>
      <c r="CF75" s="48"/>
      <c r="CG75" s="48"/>
      <c r="CH75" s="48"/>
      <c r="CI75" s="48"/>
    </row>
    <row r="76" spans="1:87" ht="2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2"/>
      <c r="AM76" s="2"/>
      <c r="AN76" s="2"/>
      <c r="AO76" s="2"/>
      <c r="AP76" s="2"/>
      <c r="AQ76" s="2"/>
      <c r="AR76" s="2"/>
      <c r="AS76" s="2"/>
      <c r="BZ76" s="48"/>
      <c r="CA76" s="48"/>
      <c r="CB76" s="48"/>
      <c r="CC76" s="48"/>
      <c r="CD76" s="48"/>
      <c r="CE76" s="48"/>
      <c r="CF76" s="48"/>
      <c r="CG76" s="48"/>
      <c r="CH76" s="48"/>
      <c r="CI76" s="48"/>
    </row>
    <row r="77" spans="1:87" ht="2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2"/>
      <c r="AM77" s="2"/>
      <c r="AN77" s="2"/>
      <c r="AO77" s="2"/>
      <c r="AP77" s="2"/>
      <c r="AQ77" s="2"/>
      <c r="AR77" s="2"/>
      <c r="AS77" s="2"/>
      <c r="BZ77" s="48"/>
      <c r="CA77" s="48"/>
      <c r="CB77" s="48"/>
      <c r="CC77" s="48"/>
      <c r="CD77" s="48"/>
      <c r="CE77" s="48"/>
      <c r="CF77" s="48"/>
      <c r="CG77" s="48"/>
      <c r="CH77" s="48"/>
      <c r="CI77" s="48"/>
    </row>
    <row r="78" spans="1:87" ht="2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2"/>
      <c r="AM78" s="2"/>
      <c r="AN78" s="2"/>
      <c r="AO78" s="2"/>
      <c r="AP78" s="2"/>
      <c r="AQ78" s="2"/>
      <c r="AR78" s="2"/>
      <c r="AS78" s="2"/>
      <c r="BZ78" s="48"/>
      <c r="CA78" s="48"/>
      <c r="CB78" s="48"/>
      <c r="CC78" s="48"/>
      <c r="CD78" s="48"/>
      <c r="CE78" s="48"/>
      <c r="CF78" s="48"/>
      <c r="CG78" s="48"/>
      <c r="CH78" s="48"/>
      <c r="CI78" s="48"/>
    </row>
    <row r="79" spans="1:87" ht="2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2"/>
      <c r="AM79" s="2"/>
      <c r="AN79" s="2"/>
      <c r="AO79" s="2"/>
      <c r="AP79" s="2"/>
      <c r="AQ79" s="2"/>
      <c r="AR79" s="2"/>
      <c r="AS79" s="2"/>
      <c r="BZ79" s="48"/>
      <c r="CA79" s="48"/>
      <c r="CB79" s="48"/>
      <c r="CC79" s="48"/>
      <c r="CD79" s="48"/>
      <c r="CE79" s="48"/>
      <c r="CF79" s="48"/>
      <c r="CG79" s="48"/>
      <c r="CH79" s="48"/>
      <c r="CI79" s="48"/>
    </row>
    <row r="80" spans="1:87" ht="2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2"/>
      <c r="AM80" s="2"/>
      <c r="AN80" s="2"/>
      <c r="AO80" s="2"/>
      <c r="AP80" s="2"/>
      <c r="AQ80" s="2"/>
      <c r="AR80" s="2"/>
      <c r="AS80" s="2"/>
      <c r="BZ80" s="48"/>
      <c r="CA80" s="48"/>
      <c r="CB80" s="48"/>
      <c r="CC80" s="48"/>
      <c r="CD80" s="48"/>
      <c r="CE80" s="48"/>
      <c r="CF80" s="48"/>
      <c r="CG80" s="48"/>
      <c r="CH80" s="48"/>
      <c r="CI80" s="48"/>
    </row>
    <row r="81" spans="1:87" ht="2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2"/>
      <c r="AM81" s="2"/>
      <c r="AN81" s="2"/>
      <c r="AO81" s="2"/>
      <c r="AP81" s="2"/>
      <c r="AQ81" s="2"/>
      <c r="AR81" s="2"/>
      <c r="AS81" s="2"/>
      <c r="BZ81" s="48"/>
      <c r="CA81" s="48"/>
      <c r="CB81" s="48"/>
      <c r="CC81" s="48"/>
      <c r="CD81" s="48"/>
      <c r="CE81" s="48"/>
      <c r="CF81" s="48"/>
      <c r="CG81" s="48"/>
      <c r="CH81" s="48"/>
      <c r="CI81" s="48"/>
    </row>
    <row r="82" spans="1:87" ht="2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2"/>
      <c r="AM82" s="2"/>
      <c r="AN82" s="2"/>
      <c r="AO82" s="2"/>
      <c r="AP82" s="2"/>
      <c r="AQ82" s="2"/>
      <c r="AR82" s="2"/>
      <c r="AS82" s="2"/>
      <c r="BZ82" s="48"/>
      <c r="CA82" s="48"/>
      <c r="CB82" s="48"/>
      <c r="CC82" s="48"/>
      <c r="CD82" s="48"/>
      <c r="CE82" s="48"/>
      <c r="CF82" s="48"/>
      <c r="CG82" s="48"/>
      <c r="CH82" s="48"/>
      <c r="CI82" s="48"/>
    </row>
    <row r="83" spans="1:87" ht="2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"/>
      <c r="AM83" s="2"/>
      <c r="AN83" s="2"/>
      <c r="AO83" s="2"/>
      <c r="AP83" s="2"/>
      <c r="AQ83" s="2"/>
      <c r="AR83" s="2"/>
      <c r="AS83" s="2"/>
      <c r="BZ83" s="48"/>
      <c r="CA83" s="48"/>
      <c r="CB83" s="48"/>
      <c r="CC83" s="48"/>
      <c r="CD83" s="48"/>
      <c r="CE83" s="48"/>
      <c r="CF83" s="48"/>
      <c r="CG83" s="48"/>
      <c r="CH83" s="48"/>
      <c r="CI83" s="48"/>
    </row>
    <row r="84" spans="1:87" ht="2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"/>
      <c r="AM84" s="2"/>
      <c r="AN84" s="2"/>
      <c r="AO84" s="2"/>
      <c r="AP84" s="2"/>
      <c r="AQ84" s="2"/>
      <c r="AR84" s="2"/>
      <c r="AS84" s="2"/>
      <c r="BZ84" s="48"/>
      <c r="CA84" s="48"/>
      <c r="CB84" s="48"/>
      <c r="CC84" s="48"/>
      <c r="CD84" s="48"/>
      <c r="CE84" s="48"/>
      <c r="CF84" s="48"/>
      <c r="CG84" s="48"/>
      <c r="CH84" s="48"/>
      <c r="CI84" s="48"/>
    </row>
    <row r="85" spans="1:87" ht="2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"/>
      <c r="AM85" s="2"/>
      <c r="AN85" s="2"/>
      <c r="AO85" s="2"/>
      <c r="AP85" s="2"/>
      <c r="AQ85" s="2"/>
      <c r="AR85" s="2"/>
      <c r="AS85" s="2"/>
      <c r="BZ85" s="48"/>
      <c r="CA85" s="48"/>
      <c r="CB85" s="48"/>
      <c r="CC85" s="48"/>
      <c r="CD85" s="48"/>
      <c r="CE85" s="48"/>
      <c r="CF85" s="48"/>
      <c r="CG85" s="48"/>
      <c r="CH85" s="48"/>
      <c r="CI85" s="48"/>
    </row>
    <row r="86" spans="1:87" ht="2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"/>
      <c r="AM86" s="2"/>
      <c r="AN86" s="2"/>
      <c r="AO86" s="2"/>
      <c r="AP86" s="2"/>
      <c r="AQ86" s="2"/>
      <c r="AR86" s="2"/>
      <c r="AS86" s="2"/>
      <c r="BZ86" s="48"/>
      <c r="CA86" s="48"/>
      <c r="CB86" s="48"/>
      <c r="CC86" s="48"/>
      <c r="CD86" s="48"/>
      <c r="CE86" s="48"/>
      <c r="CF86" s="48"/>
      <c r="CG86" s="48"/>
      <c r="CH86" s="48"/>
      <c r="CI86" s="48"/>
    </row>
    <row r="87" spans="1:87" ht="2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"/>
      <c r="AM87" s="2"/>
      <c r="AN87" s="2"/>
      <c r="AO87" s="2"/>
      <c r="AP87" s="2"/>
      <c r="AQ87" s="2"/>
      <c r="AR87" s="2"/>
      <c r="AS87" s="2"/>
      <c r="BZ87" s="48"/>
      <c r="CA87" s="48"/>
      <c r="CB87" s="48"/>
      <c r="CC87" s="48"/>
      <c r="CD87" s="48"/>
      <c r="CE87" s="48"/>
      <c r="CF87" s="48"/>
      <c r="CG87" s="48"/>
      <c r="CH87" s="48"/>
      <c r="CI87" s="48"/>
    </row>
    <row r="88" spans="1:87" ht="2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2"/>
      <c r="AM88" s="2"/>
      <c r="AN88" s="2"/>
      <c r="AO88" s="2"/>
      <c r="AP88" s="2"/>
      <c r="AQ88" s="2"/>
      <c r="AR88" s="2"/>
      <c r="AS88" s="2"/>
      <c r="BZ88" s="48"/>
      <c r="CA88" s="48"/>
      <c r="CB88" s="48"/>
      <c r="CC88" s="48"/>
      <c r="CD88" s="48"/>
      <c r="CE88" s="48"/>
      <c r="CF88" s="48"/>
      <c r="CG88" s="48"/>
      <c r="CH88" s="48"/>
      <c r="CI88" s="48"/>
    </row>
    <row r="89" spans="1:87" ht="2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2"/>
      <c r="AM89" s="2"/>
      <c r="AN89" s="2"/>
      <c r="AO89" s="2"/>
      <c r="AP89" s="2"/>
      <c r="AQ89" s="2"/>
      <c r="AR89" s="2"/>
      <c r="AS89" s="2"/>
      <c r="BZ89" s="48"/>
      <c r="CA89" s="48"/>
      <c r="CB89" s="48"/>
      <c r="CC89" s="48"/>
      <c r="CD89" s="48"/>
      <c r="CE89" s="48"/>
      <c r="CF89" s="48"/>
      <c r="CG89" s="48"/>
      <c r="CH89" s="48"/>
      <c r="CI89" s="48"/>
    </row>
    <row r="90" spans="1:87" ht="2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2"/>
      <c r="AM90" s="2"/>
      <c r="AN90" s="2"/>
      <c r="AO90" s="2"/>
      <c r="AP90" s="2"/>
      <c r="AQ90" s="2"/>
      <c r="AR90" s="2"/>
      <c r="AS90" s="2"/>
      <c r="BZ90" s="48"/>
      <c r="CA90" s="48"/>
      <c r="CB90" s="48"/>
      <c r="CC90" s="48"/>
      <c r="CD90" s="48"/>
      <c r="CE90" s="48"/>
      <c r="CF90" s="48"/>
      <c r="CG90" s="48"/>
      <c r="CH90" s="48"/>
      <c r="CI90" s="48"/>
    </row>
    <row r="91" spans="1:87" ht="2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2"/>
      <c r="AM91" s="2"/>
      <c r="AN91" s="2"/>
      <c r="AO91" s="2"/>
      <c r="AP91" s="2"/>
      <c r="AQ91" s="2"/>
      <c r="AR91" s="2"/>
      <c r="AS91" s="2"/>
      <c r="BZ91" s="48"/>
      <c r="CA91" s="48"/>
      <c r="CB91" s="48"/>
      <c r="CC91" s="48"/>
      <c r="CD91" s="48"/>
      <c r="CE91" s="48"/>
      <c r="CF91" s="48"/>
      <c r="CG91" s="48"/>
      <c r="CH91" s="48"/>
      <c r="CI91" s="48"/>
    </row>
    <row r="92" spans="1:87" ht="2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2"/>
      <c r="AM92" s="2"/>
      <c r="AN92" s="2"/>
      <c r="AO92" s="2"/>
      <c r="AP92" s="2"/>
      <c r="AQ92" s="2"/>
      <c r="AR92" s="2"/>
      <c r="AS92" s="2"/>
      <c r="BZ92" s="48"/>
      <c r="CA92" s="48"/>
      <c r="CB92" s="48"/>
      <c r="CC92" s="48"/>
      <c r="CD92" s="48"/>
      <c r="CE92" s="48"/>
      <c r="CF92" s="48"/>
      <c r="CG92" s="48"/>
      <c r="CH92" s="48"/>
      <c r="CI92" s="48"/>
    </row>
    <row r="93" spans="1:87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2"/>
      <c r="AM93" s="2"/>
      <c r="AN93" s="2"/>
      <c r="AO93" s="2"/>
      <c r="AP93" s="2"/>
      <c r="AQ93" s="2"/>
      <c r="AR93" s="2"/>
      <c r="AS93" s="2"/>
      <c r="BZ93" s="48"/>
      <c r="CA93" s="48"/>
      <c r="CB93" s="48"/>
      <c r="CC93" s="48"/>
      <c r="CD93" s="48"/>
      <c r="CE93" s="48"/>
      <c r="CF93" s="48"/>
      <c r="CG93" s="48"/>
      <c r="CH93" s="48"/>
      <c r="CI93" s="48"/>
    </row>
    <row r="94" spans="1:87" ht="2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2"/>
      <c r="AM94" s="2"/>
      <c r="AN94" s="2"/>
      <c r="AO94" s="2"/>
      <c r="AP94" s="2"/>
      <c r="AQ94" s="2"/>
      <c r="AR94" s="2"/>
      <c r="AS94" s="2"/>
      <c r="BZ94" s="48"/>
      <c r="CA94" s="48"/>
      <c r="CB94" s="48"/>
      <c r="CC94" s="48"/>
      <c r="CD94" s="48"/>
      <c r="CE94" s="48"/>
      <c r="CF94" s="48"/>
      <c r="CG94" s="48"/>
      <c r="CH94" s="48"/>
      <c r="CI94" s="48"/>
    </row>
    <row r="95" spans="1:87" ht="2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2"/>
      <c r="AM95" s="2"/>
      <c r="AN95" s="2"/>
      <c r="AO95" s="2"/>
      <c r="AP95" s="2"/>
      <c r="AQ95" s="2"/>
      <c r="AR95" s="2"/>
      <c r="AS95" s="2"/>
      <c r="BZ95" s="48"/>
      <c r="CA95" s="48"/>
      <c r="CB95" s="48"/>
      <c r="CC95" s="48"/>
      <c r="CD95" s="48"/>
      <c r="CE95" s="48"/>
      <c r="CF95" s="48"/>
      <c r="CG95" s="48"/>
      <c r="CH95" s="48"/>
      <c r="CI95" s="48"/>
    </row>
    <row r="96" spans="1:87" ht="2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2"/>
      <c r="AM96" s="2"/>
      <c r="AN96" s="2"/>
      <c r="AO96" s="2"/>
      <c r="AP96" s="2"/>
      <c r="AQ96" s="2"/>
      <c r="AR96" s="2"/>
      <c r="AS96" s="2"/>
      <c r="BZ96" s="48"/>
      <c r="CA96" s="48"/>
      <c r="CB96" s="48"/>
      <c r="CC96" s="48"/>
      <c r="CD96" s="48"/>
      <c r="CE96" s="48"/>
      <c r="CF96" s="48"/>
      <c r="CG96" s="48"/>
      <c r="CH96" s="48"/>
      <c r="CI96" s="48"/>
    </row>
    <row r="97" spans="1:87" ht="2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2"/>
      <c r="AM97" s="2"/>
      <c r="AN97" s="2"/>
      <c r="AO97" s="2"/>
      <c r="AP97" s="2"/>
      <c r="AQ97" s="2"/>
      <c r="AR97" s="2"/>
      <c r="AS97" s="2"/>
      <c r="BZ97" s="48"/>
      <c r="CA97" s="48"/>
      <c r="CB97" s="48"/>
      <c r="CC97" s="48"/>
      <c r="CD97" s="48"/>
      <c r="CE97" s="48"/>
      <c r="CF97" s="48"/>
      <c r="CG97" s="48"/>
      <c r="CH97" s="48"/>
      <c r="CI97" s="48"/>
    </row>
    <row r="98" spans="1:87" ht="2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2"/>
      <c r="AM98" s="2"/>
      <c r="AN98" s="2"/>
      <c r="AO98" s="2"/>
      <c r="AP98" s="2"/>
      <c r="AQ98" s="2"/>
      <c r="AR98" s="2"/>
      <c r="AS98" s="2"/>
      <c r="BZ98" s="48"/>
      <c r="CA98" s="48"/>
      <c r="CB98" s="48"/>
      <c r="CC98" s="48"/>
      <c r="CD98" s="48"/>
      <c r="CE98" s="48"/>
      <c r="CF98" s="48"/>
      <c r="CG98" s="48"/>
      <c r="CH98" s="48"/>
      <c r="CI98" s="48"/>
    </row>
    <row r="99" spans="1:87" ht="2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2"/>
      <c r="AM99" s="2"/>
      <c r="AN99" s="2"/>
      <c r="AO99" s="2"/>
      <c r="AP99" s="2"/>
      <c r="AQ99" s="2"/>
      <c r="AR99" s="2"/>
      <c r="AS99" s="2"/>
      <c r="BZ99" s="48"/>
      <c r="CA99" s="48"/>
      <c r="CB99" s="48"/>
      <c r="CC99" s="48"/>
      <c r="CD99" s="48"/>
      <c r="CE99" s="48"/>
      <c r="CF99" s="48"/>
      <c r="CG99" s="48"/>
      <c r="CH99" s="48"/>
      <c r="CI99" s="48"/>
    </row>
    <row r="100" spans="1:87" ht="2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2"/>
      <c r="AM100" s="2"/>
      <c r="AN100" s="2"/>
      <c r="AO100" s="2"/>
      <c r="AP100" s="2"/>
      <c r="AQ100" s="2"/>
      <c r="AR100" s="2"/>
      <c r="AS100" s="2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</row>
  </sheetData>
  <mergeCells count="230">
    <mergeCell ref="CA37:CI38"/>
    <mergeCell ref="AJ30:AM30"/>
    <mergeCell ref="AJ28:AM29"/>
    <mergeCell ref="AG45:AK45"/>
    <mergeCell ref="AL45:AN45"/>
    <mergeCell ref="AO45:AQ45"/>
    <mergeCell ref="AX47:BA47"/>
    <mergeCell ref="BH46:BK46"/>
    <mergeCell ref="BH47:BK47"/>
    <mergeCell ref="AR28:AU29"/>
    <mergeCell ref="AV28:AY29"/>
    <mergeCell ref="BD41:BG41"/>
    <mergeCell ref="BD40:BG40"/>
    <mergeCell ref="B39:W40"/>
    <mergeCell ref="X39:AM39"/>
    <mergeCell ref="X40:AD40"/>
    <mergeCell ref="AE40:AJ40"/>
    <mergeCell ref="AK40:AM40"/>
    <mergeCell ref="AN39:BC39"/>
    <mergeCell ref="BD39:BS39"/>
    <mergeCell ref="BP40:BS40"/>
    <mergeCell ref="BL42:BO43"/>
    <mergeCell ref="BL41:BO41"/>
    <mergeCell ref="BP42:BS43"/>
    <mergeCell ref="BH41:BK41"/>
    <mergeCell ref="BP41:BS41"/>
    <mergeCell ref="X41:Z41"/>
    <mergeCell ref="AA41:AD41"/>
    <mergeCell ref="X42:Z42"/>
    <mergeCell ref="AA42:AD42"/>
    <mergeCell ref="AO51:BC51"/>
    <mergeCell ref="BH51:BK52"/>
    <mergeCell ref="BL44:BO45"/>
    <mergeCell ref="BL46:BO46"/>
    <mergeCell ref="AN40:AT40"/>
    <mergeCell ref="AU40:AZ40"/>
    <mergeCell ref="BL40:BO40"/>
    <mergeCell ref="BH40:BK40"/>
    <mergeCell ref="BD51:BG52"/>
    <mergeCell ref="BD46:BG46"/>
    <mergeCell ref="BD47:BG47"/>
    <mergeCell ref="BL47:BO47"/>
    <mergeCell ref="BP46:BS46"/>
    <mergeCell ref="BH44:BK45"/>
    <mergeCell ref="AM61:BR61"/>
    <mergeCell ref="AK47:AM47"/>
    <mergeCell ref="AL58:AN58"/>
    <mergeCell ref="Q52:BC52"/>
    <mergeCell ref="Q53:BC53"/>
    <mergeCell ref="BD53:BG53"/>
    <mergeCell ref="BD48:BG50"/>
    <mergeCell ref="BL48:BO50"/>
    <mergeCell ref="BP48:BS50"/>
    <mergeCell ref="BP47:BS47"/>
    <mergeCell ref="BG56:BS56"/>
    <mergeCell ref="BP51:BS52"/>
    <mergeCell ref="BH53:BK53"/>
    <mergeCell ref="BL53:BO53"/>
    <mergeCell ref="BP53:BS53"/>
    <mergeCell ref="BH48:BK50"/>
    <mergeCell ref="BL51:BO52"/>
    <mergeCell ref="AU45:AW45"/>
    <mergeCell ref="AV47:AW47"/>
    <mergeCell ref="X46:BC46"/>
    <mergeCell ref="BP44:BS45"/>
    <mergeCell ref="U51:AJ51"/>
    <mergeCell ref="AK51:AN51"/>
    <mergeCell ref="Q49:BC50"/>
    <mergeCell ref="AD47:AH47"/>
    <mergeCell ref="B48:P50"/>
    <mergeCell ref="B51:P52"/>
    <mergeCell ref="C45:W45"/>
    <mergeCell ref="B42:K43"/>
    <mergeCell ref="Q51:T51"/>
    <mergeCell ref="AX44:BC45"/>
    <mergeCell ref="X43:AQ43"/>
    <mergeCell ref="W55:Y55"/>
    <mergeCell ref="W56:Y56"/>
    <mergeCell ref="B54:BS54"/>
    <mergeCell ref="W57:Y57"/>
    <mergeCell ref="W58:Y58"/>
    <mergeCell ref="J63:BR63"/>
    <mergeCell ref="J64:BR64"/>
    <mergeCell ref="B59:BS59"/>
    <mergeCell ref="AX58:AZ58"/>
    <mergeCell ref="BK57:BM57"/>
    <mergeCell ref="BK58:BM58"/>
    <mergeCell ref="T61:W61"/>
    <mergeCell ref="J61:M61"/>
    <mergeCell ref="U55:V55"/>
    <mergeCell ref="U57:V57"/>
    <mergeCell ref="U58:V58"/>
    <mergeCell ref="C63:G64"/>
    <mergeCell ref="H63:H64"/>
    <mergeCell ref="AT56:BF56"/>
    <mergeCell ref="AX57:AZ57"/>
    <mergeCell ref="AG56:AS56"/>
    <mergeCell ref="AL57:AN57"/>
    <mergeCell ref="AG44:AK44"/>
    <mergeCell ref="AH42:AJ42"/>
    <mergeCell ref="AN37:AS38"/>
    <mergeCell ref="AN36:AQ36"/>
    <mergeCell ref="AJ33:AM33"/>
    <mergeCell ref="AJ32:AM32"/>
    <mergeCell ref="AJ31:AM31"/>
    <mergeCell ref="AL44:AQ44"/>
    <mergeCell ref="AL41:AT41"/>
    <mergeCell ref="AK42:AN42"/>
    <mergeCell ref="AR32:AU32"/>
    <mergeCell ref="AJ36:AM36"/>
    <mergeCell ref="AJ35:AM35"/>
    <mergeCell ref="BJ37:BS38"/>
    <mergeCell ref="BP34:BS34"/>
    <mergeCell ref="AR42:AT42"/>
    <mergeCell ref="AU42:AX42"/>
    <mergeCell ref="AR44:AW44"/>
    <mergeCell ref="AR43:AU43"/>
    <mergeCell ref="AT37:BC38"/>
    <mergeCell ref="AN27:BC27"/>
    <mergeCell ref="AZ33:BC33"/>
    <mergeCell ref="AZ36:BC36"/>
    <mergeCell ref="AR36:AY36"/>
    <mergeCell ref="AZ30:BC30"/>
    <mergeCell ref="AX41:AZ41"/>
    <mergeCell ref="BA40:BC40"/>
    <mergeCell ref="BD44:BG45"/>
    <mergeCell ref="BD42:BG43"/>
    <mergeCell ref="BH42:BK43"/>
    <mergeCell ref="AV30:AY30"/>
    <mergeCell ref="BD37:BI38"/>
    <mergeCell ref="BE10:BS10"/>
    <mergeCell ref="BE13:BF13"/>
    <mergeCell ref="BE15:BF15"/>
    <mergeCell ref="BJ7:BL7"/>
    <mergeCell ref="BJ8:BL8"/>
    <mergeCell ref="BF20:BN20"/>
    <mergeCell ref="BD36:BI36"/>
    <mergeCell ref="BJ36:BS36"/>
    <mergeCell ref="AZ31:BC31"/>
    <mergeCell ref="BD31:BG31"/>
    <mergeCell ref="BH31:BK31"/>
    <mergeCell ref="BL31:BO31"/>
    <mergeCell ref="BL30:BO30"/>
    <mergeCell ref="BJ2:BS4"/>
    <mergeCell ref="BJ5:BS6"/>
    <mergeCell ref="AZ28:BC29"/>
    <mergeCell ref="AN26:BC26"/>
    <mergeCell ref="BD26:BS26"/>
    <mergeCell ref="BD27:BS27"/>
    <mergeCell ref="BD30:BG30"/>
    <mergeCell ref="BH30:BK30"/>
    <mergeCell ref="AN34:AY34"/>
    <mergeCell ref="AZ34:BC34"/>
    <mergeCell ref="BD34:BO34"/>
    <mergeCell ref="BL32:BO32"/>
    <mergeCell ref="BP32:BS32"/>
    <mergeCell ref="AV32:AY32"/>
    <mergeCell ref="AZ32:BC32"/>
    <mergeCell ref="BD32:BG32"/>
    <mergeCell ref="BH32:BK32"/>
    <mergeCell ref="AN30:AQ30"/>
    <mergeCell ref="AN28:AQ29"/>
    <mergeCell ref="AN31:AQ31"/>
    <mergeCell ref="BN23:BQ23"/>
    <mergeCell ref="BN25:BQ25"/>
    <mergeCell ref="BF18:BN18"/>
    <mergeCell ref="BF19:BN19"/>
    <mergeCell ref="X37:AC38"/>
    <mergeCell ref="AD37:AL38"/>
    <mergeCell ref="X36:AA36"/>
    <mergeCell ref="AB36:AI36"/>
    <mergeCell ref="X35:AI35"/>
    <mergeCell ref="P14:U14"/>
    <mergeCell ref="N13:V13"/>
    <mergeCell ref="B9:BS9"/>
    <mergeCell ref="L7:BI8"/>
    <mergeCell ref="B17:BS17"/>
    <mergeCell ref="B22:BS22"/>
    <mergeCell ref="AJ34:AM34"/>
    <mergeCell ref="X34:AI34"/>
    <mergeCell ref="B37:F37"/>
    <mergeCell ref="B38:F38"/>
    <mergeCell ref="X32:AA32"/>
    <mergeCell ref="AB32:AE32"/>
    <mergeCell ref="AF32:AI32"/>
    <mergeCell ref="AF28:AI29"/>
    <mergeCell ref="AF30:AI30"/>
    <mergeCell ref="AF23:AK23"/>
    <mergeCell ref="X31:AA31"/>
    <mergeCell ref="AB31:AE31"/>
    <mergeCell ref="X26:AM26"/>
    <mergeCell ref="AR33:AU33"/>
    <mergeCell ref="AV33:AY33"/>
    <mergeCell ref="AF33:AI33"/>
    <mergeCell ref="BP33:BS33"/>
    <mergeCell ref="BD33:BG33"/>
    <mergeCell ref="BH33:BK33"/>
    <mergeCell ref="BL33:BO33"/>
    <mergeCell ref="AB28:AE29"/>
    <mergeCell ref="AB30:AE30"/>
    <mergeCell ref="AF31:AI31"/>
    <mergeCell ref="BP30:BS30"/>
    <mergeCell ref="BD28:BG29"/>
    <mergeCell ref="BH28:BK29"/>
    <mergeCell ref="BL28:BO29"/>
    <mergeCell ref="BP28:BS29"/>
    <mergeCell ref="BP31:BS31"/>
    <mergeCell ref="AV23:BA23"/>
    <mergeCell ref="AS25:AX25"/>
    <mergeCell ref="AR30:AU30"/>
    <mergeCell ref="AV31:AY31"/>
    <mergeCell ref="AR31:AU31"/>
    <mergeCell ref="T3:BA4"/>
    <mergeCell ref="T2:BA2"/>
    <mergeCell ref="T5:BA5"/>
    <mergeCell ref="T6:BA6"/>
    <mergeCell ref="AD25:AI25"/>
    <mergeCell ref="X28:AA29"/>
    <mergeCell ref="X30:AA30"/>
    <mergeCell ref="X27:AM27"/>
    <mergeCell ref="AN33:AQ33"/>
    <mergeCell ref="AN32:AQ32"/>
    <mergeCell ref="X33:AA33"/>
    <mergeCell ref="AB33:AE33"/>
    <mergeCell ref="B29:T30"/>
    <mergeCell ref="B2:K4"/>
    <mergeCell ref="B5:K6"/>
    <mergeCell ref="B8:K8"/>
    <mergeCell ref="B7:K7"/>
    <mergeCell ref="N10:T10"/>
  </mergeCells>
  <conditionalFormatting sqref="BH40:BK53">
    <cfRule type="containsText" dxfId="1" priority="1" operator="containsText" text="gagal">
      <formula>NOT(ISERROR(SEARCH(("gagal"),(BH40))))</formula>
    </cfRule>
  </conditionalFormatting>
  <conditionalFormatting sqref="BP40:BS53">
    <cfRule type="containsText" dxfId="0" priority="2" operator="containsText" text="gagal">
      <formula>NOT(ISERROR(SEARCH(("gagal"),(BP40))))</formula>
    </cfRule>
  </conditionalFormatting>
  <pageMargins left="0.19650320837816856" right="0.19650320837816856" top="0.19650320837816856" bottom="0.19650320837816856" header="0" footer="0"/>
  <pageSetup paperSize="9" scale="82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Cerapan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Ergus .</cp:lastModifiedBy>
  <cp:revision>0</cp:revision>
  <cp:lastPrinted>2026-05-01T06:28:52Z</cp:lastPrinted>
  <dcterms:created xsi:type="dcterms:W3CDTF">2026-04-29T06:06:31Z</dcterms:created>
  <dcterms:modified xsi:type="dcterms:W3CDTF">2026-07-03T12:47:19Z</dcterms:modified>
</cp:coreProperties>
</file>